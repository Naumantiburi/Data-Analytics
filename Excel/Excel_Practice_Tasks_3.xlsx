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7E650D7F4E1C11/Desktop/Adnai DA/Excel/"/>
    </mc:Choice>
  </mc:AlternateContent>
  <xr:revisionPtr revIDLastSave="272" documentId="13_ncr:1_{1C6D1820-0430-401B-BF81-0963458EAEB9}" xr6:coauthVersionLast="47" xr6:coauthVersionMax="47" xr10:uidLastSave="{C5FC5AF6-632E-4012-8ABF-8AB8C4474F4A}"/>
  <bookViews>
    <workbookView xWindow="-108" yWindow="-108" windowWidth="23256" windowHeight="12456" activeTab="2" xr2:uid="{232A882E-4390-43BE-8576-563E2D407D72}"/>
  </bookViews>
  <sheets>
    <sheet name="VLOOKUP Tasks" sheetId="1" r:id="rId1"/>
    <sheet name="HLOOKUP Tasks" sheetId="2" r:id="rId2"/>
    <sheet name="XLOOKUP Tas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2" i="3"/>
  <c r="G3" i="3"/>
  <c r="G4" i="3"/>
  <c r="G5" i="3"/>
  <c r="G6" i="3"/>
  <c r="G7" i="3"/>
  <c r="G8" i="3"/>
  <c r="G9" i="3"/>
  <c r="G2" i="3"/>
  <c r="N34" i="3"/>
  <c r="N25" i="3"/>
  <c r="N18" i="3"/>
  <c r="N13" i="3"/>
  <c r="N7" i="3"/>
  <c r="N24" i="2"/>
  <c r="N17" i="2"/>
  <c r="N9" i="2"/>
  <c r="N5" i="2"/>
  <c r="N30" i="1"/>
  <c r="N23" i="1"/>
  <c r="N17" i="1"/>
  <c r="N11" i="1"/>
  <c r="N7" i="1"/>
  <c r="N3" i="1"/>
</calcChain>
</file>

<file path=xl/sharedStrings.xml><?xml version="1.0" encoding="utf-8"?>
<sst xmlns="http://schemas.openxmlformats.org/spreadsheetml/2006/main" count="194" uniqueCount="61">
  <si>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</si>
  <si>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</si>
  <si>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</si>
  <si>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</si>
  <si>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</si>
  <si>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</si>
  <si>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</si>
  <si>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</si>
  <si>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</si>
  <si>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</si>
  <si>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</si>
  <si>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</si>
  <si>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</si>
  <si>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</si>
  <si>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</si>
  <si>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</si>
  <si>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</si>
  <si>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</si>
  <si>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</si>
  <si>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</si>
  <si>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</si>
  <si>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</si>
  <si>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</si>
  <si>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</si>
  <si>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</si>
  <si>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</si>
  <si>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</si>
  <si>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</si>
  <si>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</si>
  <si>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</si>
  <si>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</si>
  <si>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</si>
  <si>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</si>
  <si>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r>
      <t>1. Find the </t>
    </r>
    <r>
      <rPr>
        <sz val="10"/>
        <color theme="1"/>
        <rFont val="Segoe UI"/>
        <family val="2"/>
      </rPr>
      <t>Name</t>
    </r>
    <r>
      <rPr>
        <sz val="10"/>
        <color theme="1"/>
        <rFont val="Segoe UI"/>
        <family val="2"/>
      </rPr>
      <t> of employee using </t>
    </r>
    <r>
      <rPr>
        <sz val="8"/>
        <color theme="1"/>
        <rFont val="Consolas"/>
        <family val="3"/>
      </rPr>
      <t>EmployeeID</t>
    </r>
    <r>
      <rPr>
        <sz val="10"/>
        <color theme="1"/>
        <rFont val="Segoe UI"/>
        <family val="2"/>
      </rPr>
      <t> from </t>
    </r>
    <r>
      <rPr>
        <sz val="8"/>
        <color theme="1"/>
        <rFont val="Consolas"/>
        <family val="3"/>
      </rPr>
      <t>Search_Input</t>
    </r>
    <r>
      <rPr>
        <sz val="10"/>
        <color theme="1"/>
        <rFont val="Segoe UI"/>
        <family val="2"/>
      </rPr>
      <t>.</t>
    </r>
  </si>
  <si>
    <r>
      <t>2. Find the </t>
    </r>
    <r>
      <rPr>
        <sz val="10"/>
        <color theme="1"/>
        <rFont val="Segoe UI"/>
        <family val="2"/>
      </rPr>
      <t>Department</t>
    </r>
    <r>
      <rPr>
        <sz val="10"/>
        <color theme="1"/>
        <rFont val="Segoe UI"/>
        <family val="2"/>
      </rPr>
      <t> of employee with ID </t>
    </r>
    <r>
      <rPr>
        <sz val="10"/>
        <color theme="1"/>
        <rFont val="Segoe UI"/>
        <family val="2"/>
      </rPr>
      <t>E103</t>
    </r>
    <r>
      <rPr>
        <sz val="10"/>
        <color theme="1"/>
        <rFont val="Segoe UI"/>
        <family val="2"/>
      </rPr>
      <t>.</t>
    </r>
  </si>
  <si>
    <t>VLOOKUP Tasks</t>
  </si>
  <si>
    <r>
      <t>3. Find the </t>
    </r>
    <r>
      <rPr>
        <sz val="10"/>
        <color theme="1"/>
        <rFont val="Segoe UI"/>
        <family val="2"/>
      </rPr>
      <t>Salary</t>
    </r>
    <r>
      <rPr>
        <sz val="10"/>
        <color theme="1"/>
        <rFont val="Segoe UI"/>
        <family val="2"/>
      </rPr>
      <t> of employee </t>
    </r>
    <r>
      <rPr>
        <sz val="10"/>
        <color theme="1"/>
        <rFont val="Segoe UI"/>
        <family val="2"/>
      </rPr>
      <t>Neha Singh</t>
    </r>
    <r>
      <rPr>
        <sz val="10"/>
        <color theme="1"/>
        <rFont val="Segoe UI"/>
        <family val="2"/>
      </rPr>
      <t> using VLOOKUP.</t>
    </r>
  </si>
  <si>
    <t>4. Get the Location of employee E107.</t>
  </si>
  <si>
    <r>
      <t>5. If </t>
    </r>
    <r>
      <rPr>
        <sz val="8"/>
        <color theme="1"/>
        <rFont val="Consolas"/>
        <family val="3"/>
      </rPr>
      <t>EmployeeID</t>
    </r>
    <r>
      <rPr>
        <sz val="10"/>
        <color theme="1"/>
        <rFont val="Segoe UI"/>
        <family val="2"/>
      </rPr>
      <t> is not found, display </t>
    </r>
    <r>
      <rPr>
        <sz val="10"/>
        <color theme="1"/>
        <rFont val="Segoe UI"/>
        <family val="2"/>
      </rPr>
      <t>"Not Found"</t>
    </r>
    <r>
      <rPr>
        <sz val="10"/>
        <color theme="1"/>
        <rFont val="Segoe UI"/>
        <family val="2"/>
      </rPr>
      <t>.</t>
    </r>
  </si>
  <si>
    <t>E110</t>
  </si>
  <si>
    <t>6. Find the JoiningYear of employee E101.</t>
  </si>
  <si>
    <t>Joining Year</t>
  </si>
  <si>
    <t>Bonus %</t>
  </si>
  <si>
    <t>HLOOKUP Tasks</t>
  </si>
  <si>
    <t>Bonus</t>
  </si>
  <si>
    <t>(Bonus Amount = Salary × Bonus %).</t>
  </si>
  <si>
    <t>Bonus Amount</t>
  </si>
  <si>
    <t>XLOOKUP Tasks</t>
  </si>
  <si>
    <r>
      <t>1.Find Salary using </t>
    </r>
    <r>
      <rPr>
        <b/>
        <sz val="8"/>
        <color theme="1"/>
        <rFont val="Consolas"/>
        <family val="3"/>
      </rPr>
      <t>EmployeeID</t>
    </r>
    <r>
      <rPr>
        <b/>
        <sz val="10"/>
        <color theme="1"/>
        <rFont val="Segoe UI"/>
        <family val="2"/>
      </rPr>
      <t>.</t>
    </r>
  </si>
  <si>
    <t>EmployeeId</t>
  </si>
  <si>
    <t>2. Find Department using Employee Name.</t>
  </si>
  <si>
    <r>
      <t>3. Fetch </t>
    </r>
    <r>
      <rPr>
        <sz val="10"/>
        <color theme="1"/>
        <rFont val="Segoe UI"/>
        <family val="2"/>
      </rPr>
      <t>Location</t>
    </r>
    <r>
      <rPr>
        <sz val="10"/>
        <color theme="1"/>
        <rFont val="Segoe UI"/>
        <family val="2"/>
      </rPr>
      <t> of employee </t>
    </r>
    <r>
      <rPr>
        <sz val="10"/>
        <color theme="1"/>
        <rFont val="Segoe UI"/>
        <family val="2"/>
      </rPr>
      <t>Rohit Verma</t>
    </r>
    <r>
      <rPr>
        <sz val="10"/>
        <color theme="1"/>
        <rFont val="Segoe UI"/>
        <family val="2"/>
      </rPr>
      <t>.</t>
    </r>
  </si>
  <si>
    <t>E999</t>
  </si>
  <si>
    <r>
      <t>4. If </t>
    </r>
    <r>
      <rPr>
        <sz val="8"/>
        <color theme="1"/>
        <rFont val="Consolas"/>
        <family val="3"/>
      </rPr>
      <t>EmployeeID = E999</t>
    </r>
    <r>
      <rPr>
        <sz val="10"/>
        <color theme="1"/>
        <rFont val="Segoe UI"/>
        <family val="2"/>
      </rPr>
      <t>, return </t>
    </r>
    <r>
      <rPr>
        <sz val="10"/>
        <color theme="1"/>
        <rFont val="Segoe UI"/>
        <family val="2"/>
      </rPr>
      <t>"Employee Not Found"</t>
    </r>
    <r>
      <rPr>
        <sz val="10"/>
        <color theme="1"/>
        <rFont val="Segoe UI"/>
        <family val="2"/>
      </rPr>
      <t>.</t>
    </r>
  </si>
  <si>
    <t>Department Bonus</t>
  </si>
  <si>
    <r>
      <t>5. Find </t>
    </r>
    <r>
      <rPr>
        <sz val="10"/>
        <color theme="1"/>
        <rFont val="Segoe UI"/>
        <family val="2"/>
      </rPr>
      <t>Bonus %</t>
    </r>
    <r>
      <rPr>
        <sz val="10"/>
        <color theme="1"/>
        <rFont val="Segoe UI"/>
        <family val="2"/>
      </rPr>
      <t> using XLOOKUP from </t>
    </r>
    <r>
      <rPr>
        <sz val="8"/>
        <color theme="1"/>
        <rFont val="Consolas"/>
        <family val="3"/>
      </rPr>
      <t>Department_Bonus</t>
    </r>
    <r>
      <rPr>
        <sz val="10"/>
        <color theme="1"/>
        <rFont val="Segoe UI"/>
        <family val="2"/>
      </rPr>
      <t> (horizontal lookup).</t>
    </r>
  </si>
  <si>
    <t>3. Calculate Bonus Amount for employee E104</t>
  </si>
  <si>
    <t>2. Find the Bonus % for Finance department.</t>
  </si>
  <si>
    <t>1. Find the Bonus % for IT department.</t>
  </si>
  <si>
    <t>4. If department is invalid, display "No Bonus Data".</t>
  </si>
  <si>
    <t>salary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</si>
</sst>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8"/>
      <color theme="1"/>
      <name val="Consolas"/>
      <family val="3"/>
    </font>
    <font>
      <b/>
      <sz val="16.5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6.5"/>
      <color theme="1"/>
      <name val="Segoe UI"/>
      <family val="2"/>
    </font>
    <font>
      <b/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0" fillId="0" borderId="2" xfId="0" applyBorder="1"/>
    <xf numFmtId="0" fontId="0" fillId="2" borderId="2" xfId="0" applyFill="1" applyBorder="1"/>
    <xf numFmtId="0" fontId="7" fillId="2" borderId="1" xfId="0" applyFont="1" applyFill="1" applyBorder="1" applyAlignment="1">
      <alignment horizontal="right" vertical="center" wrapText="1" inden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9" fontId="0" fillId="2" borderId="1" xfId="0" applyNumberFormat="1" applyFill="1" applyBorder="1" applyAlignment="1">
      <alignment horizontal="right" vertical="center" wrapText="1" inden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right" vertical="center" wrapText="1" indent="1"/>
    </xf>
    <xf numFmtId="0" fontId="9" fillId="2" borderId="2" xfId="0" applyFont="1" applyFill="1" applyBorder="1" applyAlignment="1">
      <alignment vertical="center" wrapText="1"/>
    </xf>
    <xf numFmtId="0" fontId="0" fillId="0" borderId="4" xfId="0" applyBorder="1"/>
    <xf numFmtId="0" fontId="6" fillId="2" borderId="2" xfId="0" applyFont="1" applyFill="1" applyBorder="1"/>
    <xf numFmtId="0" fontId="6" fillId="0" borderId="2" xfId="0" applyFont="1" applyBorder="1"/>
    <xf numFmtId="9" fontId="1" fillId="2" borderId="1" xfId="0" applyNumberFormat="1" applyFont="1" applyFill="1" applyBorder="1" applyAlignment="1">
      <alignment horizontal="right" vertical="center" wrapText="1" indent="1"/>
    </xf>
    <xf numFmtId="0" fontId="9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left" vertical="center" wrapText="1" indent="1"/>
    </xf>
    <xf numFmtId="0" fontId="7" fillId="2" borderId="7" xfId="0" applyFont="1" applyFill="1" applyBorder="1" applyAlignment="1">
      <alignment horizontal="right" vertical="center" wrapText="1" indent="1"/>
    </xf>
    <xf numFmtId="0" fontId="1" fillId="2" borderId="7" xfId="0" applyFont="1" applyFill="1" applyBorder="1" applyAlignment="1">
      <alignment horizontal="righ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9" fontId="0" fillId="0" borderId="2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6078-A869-42FC-A5D0-C9183BADF0B0}">
  <dimension ref="A1:N30"/>
  <sheetViews>
    <sheetView workbookViewId="0">
      <selection activeCell="N3" sqref="N3"/>
    </sheetView>
  </sheetViews>
  <sheetFormatPr defaultRowHeight="14.4" x14ac:dyDescent="0.3"/>
  <cols>
    <col min="1" max="1" width="8.21875" bestFit="1" customWidth="1"/>
    <col min="2" max="3" width="8.77734375" bestFit="1" customWidth="1"/>
    <col min="5" max="5" width="8" bestFit="1" customWidth="1"/>
    <col min="6" max="6" width="7.88671875" bestFit="1" customWidth="1"/>
    <col min="10" max="10" width="30.44140625" customWidth="1"/>
    <col min="13" max="14" width="10.77734375" bestFit="1" customWidth="1"/>
  </cols>
  <sheetData>
    <row r="1" spans="1:14" ht="30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5" t="s">
        <v>35</v>
      </c>
    </row>
    <row r="2" spans="1:14" ht="45.6" thickBot="1" x14ac:dyDescent="0.35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  <c r="J2" s="25" t="s">
        <v>33</v>
      </c>
      <c r="M2" s="2" t="s">
        <v>0</v>
      </c>
      <c r="N2" s="2" t="s">
        <v>1</v>
      </c>
    </row>
    <row r="3" spans="1:14" ht="30.6" thickBot="1" x14ac:dyDescent="0.35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3">
        <v>2018</v>
      </c>
      <c r="M3" s="4" t="s">
        <v>22</v>
      </c>
      <c r="N3" s="4" t="str">
        <f>VLOOKUP(M3,A2:B9,2,0)</f>
        <v>Aman Kumar</v>
      </c>
    </row>
    <row r="4" spans="1:14" ht="30.6" thickBot="1" x14ac:dyDescent="0.35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</row>
    <row r="5" spans="1:14" ht="30.6" thickBot="1" x14ac:dyDescent="0.35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3">
        <v>2017</v>
      </c>
    </row>
    <row r="6" spans="1:14" ht="30.6" thickBot="1" x14ac:dyDescent="0.35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  <c r="J6" s="25" t="s">
        <v>34</v>
      </c>
      <c r="M6" s="6" t="s">
        <v>0</v>
      </c>
      <c r="N6" s="6" t="s">
        <v>2</v>
      </c>
    </row>
    <row r="7" spans="1:14" ht="30.6" thickBot="1" x14ac:dyDescent="0.35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3">
        <v>2019</v>
      </c>
      <c r="M7" s="6" t="s">
        <v>25</v>
      </c>
      <c r="N7" s="6" t="str">
        <f>VLOOKUP(M7,A2:C9,3,0)</f>
        <v>IT</v>
      </c>
    </row>
    <row r="8" spans="1:14" ht="30.6" thickBot="1" x14ac:dyDescent="0.35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</row>
    <row r="9" spans="1:14" ht="30.6" thickBot="1" x14ac:dyDescent="0.35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3">
        <v>2016</v>
      </c>
    </row>
    <row r="10" spans="1:14" ht="15" thickBot="1" x14ac:dyDescent="0.35">
      <c r="M10" s="7" t="s">
        <v>1</v>
      </c>
      <c r="N10" s="7" t="s">
        <v>4</v>
      </c>
    </row>
    <row r="11" spans="1:14" ht="45.6" thickBot="1" x14ac:dyDescent="0.35">
      <c r="J11" s="25" t="s">
        <v>36</v>
      </c>
      <c r="M11" s="7" t="s">
        <v>19</v>
      </c>
      <c r="N11" s="7">
        <f>VLOOKUP(M11,B2:E9,4,0)</f>
        <v>58000</v>
      </c>
    </row>
    <row r="15" spans="1:14" ht="15" thickBot="1" x14ac:dyDescent="0.35"/>
    <row r="16" spans="1:14" ht="30.6" thickBot="1" x14ac:dyDescent="0.35">
      <c r="J16" s="23" t="s">
        <v>37</v>
      </c>
      <c r="M16" s="6" t="s">
        <v>0</v>
      </c>
      <c r="N16" s="6" t="s">
        <v>3</v>
      </c>
    </row>
    <row r="17" spans="10:14" x14ac:dyDescent="0.3">
      <c r="M17" s="6" t="s">
        <v>28</v>
      </c>
      <c r="N17" s="6" t="str">
        <f>VLOOKUP(M17,A2:D9,4,0)</f>
        <v>Hyderabad</v>
      </c>
    </row>
    <row r="21" spans="10:14" ht="15" thickBot="1" x14ac:dyDescent="0.35"/>
    <row r="22" spans="10:14" ht="15.6" thickBot="1" x14ac:dyDescent="0.4">
      <c r="J22" s="26" t="s">
        <v>38</v>
      </c>
      <c r="M22" s="6" t="s">
        <v>0</v>
      </c>
      <c r="N22" s="6" t="s">
        <v>1</v>
      </c>
    </row>
    <row r="23" spans="10:14" x14ac:dyDescent="0.3">
      <c r="M23" s="6" t="s">
        <v>39</v>
      </c>
      <c r="N23" s="6" t="str">
        <f>IFERROR(VLOOKUP(M23,A2:B9,2,0),"NOT FOUND")</f>
        <v>NOT FOUND</v>
      </c>
    </row>
    <row r="29" spans="10:14" x14ac:dyDescent="0.3">
      <c r="J29" t="s">
        <v>40</v>
      </c>
      <c r="M29" s="6" t="s">
        <v>0</v>
      </c>
      <c r="N29" s="6" t="s">
        <v>41</v>
      </c>
    </row>
    <row r="30" spans="10:14" x14ac:dyDescent="0.3">
      <c r="M30" s="6" t="s">
        <v>6</v>
      </c>
      <c r="N30" s="6">
        <f>VLOOKUP(M30,A2:F9,6,0)</f>
        <v>2019</v>
      </c>
    </row>
  </sheetData>
  <dataValidations count="1">
    <dataValidation type="list" allowBlank="1" showInputMessage="1" showErrorMessage="1" sqref="M3" xr:uid="{0A4F0204-8072-4D8A-AF37-C40BD4144995}">
      <formula1>$A$2:$A$9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5E77-4488-42EA-94BD-7024D058A4B3}">
  <dimension ref="A1:N24"/>
  <sheetViews>
    <sheetView zoomScale="115" zoomScaleNormal="115" workbookViewId="0">
      <selection activeCell="N24" sqref="N24"/>
    </sheetView>
  </sheetViews>
  <sheetFormatPr defaultRowHeight="14.4" x14ac:dyDescent="0.3"/>
  <cols>
    <col min="10" max="10" width="24.44140625" customWidth="1"/>
    <col min="13" max="13" width="10.77734375" bestFit="1" customWidth="1"/>
    <col min="14" max="14" width="12.88671875" bestFit="1" customWidth="1"/>
  </cols>
  <sheetData>
    <row r="1" spans="1:14" ht="30.6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 t="s">
        <v>5</v>
      </c>
      <c r="J1" s="19" t="s">
        <v>43</v>
      </c>
    </row>
    <row r="2" spans="1:14" ht="30.6" thickBot="1" x14ac:dyDescent="0.35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</row>
    <row r="3" spans="1:14" ht="30.6" thickBot="1" x14ac:dyDescent="0.35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3">
        <v>2018</v>
      </c>
    </row>
    <row r="4" spans="1:14" ht="30.6" thickBot="1" x14ac:dyDescent="0.35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  <c r="J4" s="22" t="s">
        <v>58</v>
      </c>
      <c r="M4" s="16" t="s">
        <v>2</v>
      </c>
      <c r="N4" s="16" t="s">
        <v>44</v>
      </c>
    </row>
    <row r="5" spans="1:14" ht="30.6" thickBot="1" x14ac:dyDescent="0.35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3">
        <v>2017</v>
      </c>
      <c r="M5" s="7" t="s">
        <v>16</v>
      </c>
      <c r="N5" s="7">
        <f>HLOOKUP(M5,A15:F16,2,0)</f>
        <v>0.12</v>
      </c>
    </row>
    <row r="6" spans="1:14" ht="30.6" thickBot="1" x14ac:dyDescent="0.35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</row>
    <row r="7" spans="1:14" ht="30.6" thickBot="1" x14ac:dyDescent="0.35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3">
        <v>2019</v>
      </c>
    </row>
    <row r="8" spans="1:14" ht="45.6" thickBot="1" x14ac:dyDescent="0.35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  <c r="J8" s="21" t="s">
        <v>57</v>
      </c>
      <c r="M8" s="17" t="s">
        <v>2</v>
      </c>
      <c r="N8" s="17" t="s">
        <v>44</v>
      </c>
    </row>
    <row r="9" spans="1:14" ht="30.6" thickBot="1" x14ac:dyDescent="0.35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3">
        <v>2016</v>
      </c>
      <c r="M9" s="6" t="s">
        <v>20</v>
      </c>
      <c r="N9" s="6">
        <f>HLOOKUP(M9,A15:F16,2,0)</f>
        <v>0.15</v>
      </c>
    </row>
    <row r="13" spans="1:14" x14ac:dyDescent="0.3">
      <c r="A13" s="6"/>
      <c r="B13" s="6"/>
      <c r="C13" s="6"/>
      <c r="D13" s="6"/>
      <c r="E13" s="6"/>
      <c r="F13" s="6"/>
      <c r="G13" s="6"/>
    </row>
    <row r="14" spans="1:14" ht="25.2" x14ac:dyDescent="0.3">
      <c r="A14" s="14"/>
      <c r="B14" s="7"/>
      <c r="C14" s="7"/>
      <c r="D14" s="7"/>
      <c r="E14" s="7"/>
      <c r="F14" s="7"/>
      <c r="G14" s="6"/>
    </row>
    <row r="15" spans="1:14" ht="29.4" thickBot="1" x14ac:dyDescent="0.35">
      <c r="A15" s="12" t="s">
        <v>2</v>
      </c>
      <c r="B15" s="13" t="s">
        <v>8</v>
      </c>
      <c r="C15" s="13" t="s">
        <v>12</v>
      </c>
      <c r="D15" s="13" t="s">
        <v>16</v>
      </c>
      <c r="E15" s="13" t="s">
        <v>20</v>
      </c>
      <c r="F15" s="13" t="s">
        <v>24</v>
      </c>
      <c r="G15" s="15"/>
    </row>
    <row r="16" spans="1:14" ht="45.6" thickBot="1" x14ac:dyDescent="0.35">
      <c r="A16" s="10" t="s">
        <v>42</v>
      </c>
      <c r="B16" s="11">
        <v>0.1</v>
      </c>
      <c r="C16" s="11">
        <v>0.08</v>
      </c>
      <c r="D16" s="11">
        <v>0.12</v>
      </c>
      <c r="E16" s="11">
        <v>0.15</v>
      </c>
      <c r="F16" s="11">
        <v>0.09</v>
      </c>
      <c r="J16" s="20" t="s">
        <v>56</v>
      </c>
      <c r="M16" s="7" t="s">
        <v>0</v>
      </c>
      <c r="N16" s="7" t="s">
        <v>46</v>
      </c>
    </row>
    <row r="17" spans="10:14" ht="30" customHeight="1" x14ac:dyDescent="0.3">
      <c r="J17" s="20" t="s">
        <v>45</v>
      </c>
      <c r="M17" s="6" t="s">
        <v>18</v>
      </c>
      <c r="N17" s="6">
        <f>E5 * HLOOKUP(C5, B15:F16, 2, FALSE)</f>
        <v>8700</v>
      </c>
    </row>
    <row r="22" spans="10:14" ht="15" thickBot="1" x14ac:dyDescent="0.35"/>
    <row r="23" spans="10:14" ht="45.6" thickBot="1" x14ac:dyDescent="0.35">
      <c r="J23" s="23" t="s">
        <v>59</v>
      </c>
      <c r="M23" s="17" t="s">
        <v>2</v>
      </c>
      <c r="N23" s="17" t="s">
        <v>44</v>
      </c>
    </row>
    <row r="24" spans="10:14" x14ac:dyDescent="0.3">
      <c r="M24" s="6" t="s">
        <v>20</v>
      </c>
      <c r="N24" s="6">
        <f>IFERROR(HLOOKUP(M24,B15:F16,2,0),"No Bonus Found")</f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4E6E-6769-458B-AE23-52994E493C73}">
  <dimension ref="A1:N34"/>
  <sheetViews>
    <sheetView tabSelected="1" zoomScaleNormal="100" workbookViewId="0">
      <selection activeCell="G2" sqref="G2"/>
    </sheetView>
  </sheetViews>
  <sheetFormatPr defaultRowHeight="14.4" x14ac:dyDescent="0.3"/>
  <cols>
    <col min="7" max="7" width="8.88671875" customWidth="1"/>
    <col min="10" max="10" width="24.33203125" customWidth="1"/>
    <col min="13" max="13" width="10.77734375" bestFit="1" customWidth="1"/>
    <col min="14" max="14" width="18.21875" bestFit="1" customWidth="1"/>
  </cols>
  <sheetData>
    <row r="1" spans="1:14" ht="30.6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28" t="s">
        <v>5</v>
      </c>
      <c r="G1" s="30" t="s">
        <v>44</v>
      </c>
      <c r="H1" s="30" t="s">
        <v>60</v>
      </c>
    </row>
    <row r="2" spans="1:14" ht="30.6" thickBot="1" x14ac:dyDescent="0.35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29">
        <v>2019</v>
      </c>
      <c r="G2" s="31">
        <f>HLOOKUP(C2,$B$16:$F$17,2,0)</f>
        <v>0.1</v>
      </c>
      <c r="H2" s="6">
        <f>E2*G2</f>
        <v>4500</v>
      </c>
    </row>
    <row r="3" spans="1:14" ht="30.6" thickBot="1" x14ac:dyDescent="0.35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29">
        <v>2018</v>
      </c>
      <c r="G3" s="31">
        <f t="shared" ref="G3:G9" si="0">HLOOKUP(C3,$B$16:$F$17,2,0)</f>
        <v>0.08</v>
      </c>
      <c r="H3" s="6">
        <f t="shared" ref="H3:H9" si="1">E3*G3</f>
        <v>4160</v>
      </c>
    </row>
    <row r="4" spans="1:14" ht="51" thickBot="1" x14ac:dyDescent="0.35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29">
        <v>2020</v>
      </c>
      <c r="G4" s="31">
        <f t="shared" si="0"/>
        <v>0.12</v>
      </c>
      <c r="H4" s="6">
        <f t="shared" si="1"/>
        <v>7800</v>
      </c>
      <c r="J4" s="24" t="s">
        <v>47</v>
      </c>
    </row>
    <row r="5" spans="1:14" ht="30.6" thickBot="1" x14ac:dyDescent="0.35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29">
        <v>2017</v>
      </c>
      <c r="G5" s="31">
        <f t="shared" si="0"/>
        <v>0.15</v>
      </c>
      <c r="H5" s="6">
        <f t="shared" si="1"/>
        <v>8700</v>
      </c>
    </row>
    <row r="6" spans="1:14" ht="30.6" thickBot="1" x14ac:dyDescent="0.35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29">
        <v>2021</v>
      </c>
      <c r="G6" s="31">
        <f t="shared" si="0"/>
        <v>0.09</v>
      </c>
      <c r="H6" s="6">
        <f t="shared" si="1"/>
        <v>4320</v>
      </c>
      <c r="J6" s="23" t="s">
        <v>48</v>
      </c>
      <c r="M6" s="17" t="s">
        <v>49</v>
      </c>
      <c r="N6" s="17" t="s">
        <v>4</v>
      </c>
    </row>
    <row r="7" spans="1:14" ht="30.6" thickBot="1" x14ac:dyDescent="0.35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29">
        <v>2019</v>
      </c>
      <c r="G7" s="31">
        <f t="shared" si="0"/>
        <v>0.12</v>
      </c>
      <c r="H7" s="6">
        <f t="shared" si="1"/>
        <v>7440</v>
      </c>
      <c r="M7" s="6" t="s">
        <v>25</v>
      </c>
      <c r="N7" s="6">
        <f>_xlfn.XLOOKUP(M7,A2:A9,E2:E9)</f>
        <v>62000</v>
      </c>
    </row>
    <row r="8" spans="1:14" ht="30.6" thickBot="1" x14ac:dyDescent="0.35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29">
        <v>2020</v>
      </c>
      <c r="G8" s="31">
        <f t="shared" si="0"/>
        <v>0.1</v>
      </c>
      <c r="H8" s="6">
        <f t="shared" si="1"/>
        <v>4700</v>
      </c>
    </row>
    <row r="9" spans="1:14" ht="30.6" thickBot="1" x14ac:dyDescent="0.35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29">
        <v>2016</v>
      </c>
      <c r="G9" s="31">
        <f t="shared" si="0"/>
        <v>0.08</v>
      </c>
      <c r="H9" s="6">
        <f t="shared" si="1"/>
        <v>4320</v>
      </c>
    </row>
    <row r="11" spans="1:14" ht="15" thickBot="1" x14ac:dyDescent="0.35"/>
    <row r="12" spans="1:14" ht="45.6" thickBot="1" x14ac:dyDescent="0.35">
      <c r="J12" s="23" t="s">
        <v>50</v>
      </c>
      <c r="M12" s="17" t="s">
        <v>1</v>
      </c>
      <c r="N12" s="17" t="s">
        <v>2</v>
      </c>
    </row>
    <row r="13" spans="1:14" x14ac:dyDescent="0.3">
      <c r="M13" s="6" t="s">
        <v>26</v>
      </c>
      <c r="N13" s="6" t="str">
        <f>_xlfn.XLOOKUP(M13,B2:B9,C2:C9)</f>
        <v>IT</v>
      </c>
    </row>
    <row r="15" spans="1:14" ht="15" thickBot="1" x14ac:dyDescent="0.35"/>
    <row r="16" spans="1:14" ht="30.6" thickBot="1" x14ac:dyDescent="0.35">
      <c r="A16" s="9" t="s">
        <v>2</v>
      </c>
      <c r="B16" s="8" t="s">
        <v>8</v>
      </c>
      <c r="C16" s="8" t="s">
        <v>12</v>
      </c>
      <c r="D16" s="8" t="s">
        <v>16</v>
      </c>
      <c r="E16" s="8" t="s">
        <v>20</v>
      </c>
      <c r="F16" s="8" t="s">
        <v>24</v>
      </c>
    </row>
    <row r="17" spans="1:14" ht="30.6" thickBot="1" x14ac:dyDescent="0.35">
      <c r="A17" s="4" t="s">
        <v>42</v>
      </c>
      <c r="B17" s="18">
        <v>0.1</v>
      </c>
      <c r="C17" s="18">
        <v>0.08</v>
      </c>
      <c r="D17" s="18">
        <v>0.12</v>
      </c>
      <c r="E17" s="18">
        <v>0.15</v>
      </c>
      <c r="F17" s="18">
        <v>0.09</v>
      </c>
      <c r="J17" s="25" t="s">
        <v>51</v>
      </c>
      <c r="M17" s="17" t="s">
        <v>1</v>
      </c>
      <c r="N17" s="17" t="s">
        <v>3</v>
      </c>
    </row>
    <row r="18" spans="1:14" x14ac:dyDescent="0.3">
      <c r="M18" s="6" t="s">
        <v>15</v>
      </c>
      <c r="N18" s="6" t="str">
        <f>_xlfn.XLOOKUP(M18,B2:B9,D2:D9)</f>
        <v>Bangalore</v>
      </c>
    </row>
    <row r="23" spans="1:14" ht="15" thickBot="1" x14ac:dyDescent="0.35"/>
    <row r="24" spans="1:14" ht="45.6" thickBot="1" x14ac:dyDescent="0.35">
      <c r="J24" s="25" t="s">
        <v>53</v>
      </c>
      <c r="M24" s="17" t="s">
        <v>0</v>
      </c>
      <c r="N24" s="17" t="s">
        <v>1</v>
      </c>
    </row>
    <row r="25" spans="1:14" x14ac:dyDescent="0.3">
      <c r="M25" s="6" t="s">
        <v>52</v>
      </c>
      <c r="N25" s="6" t="str">
        <f>IFERROR(_xlfn.XLOOKUP(M25,A2:A9,B2:B9),"Employee Not Found")</f>
        <v>Employee Not Found</v>
      </c>
    </row>
    <row r="32" spans="1:14" ht="60" x14ac:dyDescent="0.3">
      <c r="J32" s="27" t="s">
        <v>55</v>
      </c>
    </row>
    <row r="33" spans="13:14" x14ac:dyDescent="0.3">
      <c r="M33" s="17" t="s">
        <v>54</v>
      </c>
      <c r="N33" s="17" t="s">
        <v>44</v>
      </c>
    </row>
    <row r="34" spans="13:14" x14ac:dyDescent="0.3">
      <c r="M34" s="6" t="s">
        <v>12</v>
      </c>
      <c r="N34" s="6">
        <f>_xlfn.XLOOKUP(M34,B16:F16,B17:F17)</f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 Tasks</vt:lpstr>
      <vt:lpstr>HLOOKUP Tasks</vt:lpstr>
      <vt:lpstr>XLOOKUP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 tiburiwala</dc:creator>
  <cp:lastModifiedBy>nauman tiburiwala</cp:lastModifiedBy>
  <dcterms:created xsi:type="dcterms:W3CDTF">2026-02-02T14:53:40Z</dcterms:created>
  <dcterms:modified xsi:type="dcterms:W3CDTF">2026-02-03T10:08:57Z</dcterms:modified>
</cp:coreProperties>
</file>