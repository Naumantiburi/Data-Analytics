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7e650d7f4e1c11/Desktop/Adnai DA/Excel/"/>
    </mc:Choice>
  </mc:AlternateContent>
  <xr:revisionPtr revIDLastSave="96" documentId="8_{8C222713-0CAC-49B5-88F1-32E836AABBA9}" xr6:coauthVersionLast="47" xr6:coauthVersionMax="47" xr10:uidLastSave="{C20B7833-5138-4504-93BA-4DAB97D9A0F6}"/>
  <bookViews>
    <workbookView xWindow="-108" yWindow="-108" windowWidth="23256" windowHeight="12456" firstSheet="1" activeTab="4" xr2:uid="{59C20260-3F81-4304-8279-2D12940EA4D2}"/>
  </bookViews>
  <sheets>
    <sheet name="Pass   Fail using IF" sheetId="1" r:id="rId1"/>
    <sheet name="Salary Bonus Check (IF)" sheetId="2" r:id="rId2"/>
    <sheet name="Grade Calculation (Nested IF)" sheetId="3" r:id="rId3"/>
    <sheet name=" Job Eligibility (AND)" sheetId="4" r:id="rId4"/>
    <sheet name="Exam Eligibility (AND)" sheetId="5" r:id="rId5"/>
    <sheet name="Discount Logic (OR)" sheetId="6" r:id="rId6"/>
    <sheet name="Loan Approval (OR)" sheetId="7" r:id="rId7"/>
    <sheet name="Attendance Status (NOT)" sheetId="8" r:id="rId8"/>
    <sheet name="Safe Division (IFERROR)" sheetId="9" r:id="rId9"/>
    <sheet name="Performance Evaluation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9" l="1"/>
  <c r="L4" i="9"/>
  <c r="L5" i="9"/>
  <c r="L2" i="9"/>
  <c r="K3" i="8"/>
  <c r="K4" i="8"/>
  <c r="K5" i="8"/>
  <c r="K2" i="8"/>
  <c r="L3" i="7"/>
  <c r="L4" i="7"/>
  <c r="L5" i="7"/>
  <c r="L2" i="7"/>
  <c r="M3" i="6"/>
  <c r="M4" i="6"/>
  <c r="M5" i="6"/>
  <c r="M2" i="6"/>
  <c r="M3" i="5"/>
  <c r="M4" i="5"/>
  <c r="M5" i="5"/>
  <c r="M2" i="5"/>
  <c r="M3" i="4"/>
  <c r="M4" i="4"/>
  <c r="M5" i="4"/>
  <c r="M2" i="4"/>
  <c r="J3" i="3"/>
  <c r="J4" i="3"/>
  <c r="J5" i="3"/>
  <c r="J6" i="3"/>
  <c r="J2" i="3"/>
  <c r="M3" i="2"/>
  <c r="M4" i="2"/>
  <c r="M5" i="2"/>
  <c r="M2" i="2"/>
  <c r="L3" i="1"/>
  <c r="L4" i="1"/>
  <c r="L5" i="1"/>
  <c r="L6" i="1"/>
  <c r="L2" i="1"/>
</calcChain>
</file>

<file path=xl/sharedStrings.xml><?xml version="1.0" encoding="utf-8"?>
<sst xmlns="http://schemas.openxmlformats.org/spreadsheetml/2006/main" count="193" uniqueCount="65">
  <si>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</si>
  <si>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</si>
  <si>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</si>
  <si>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</si>
  <si>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</si>
  <si>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</si>
  <si>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</si>
  <si>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</si>
  <si>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</si>
  <si>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Task</t>
  </si>
  <si>
    <t>If Marks ≥ 40 → Pass</t>
  </si>
  <si>
    <t>Else → Fail</t>
  </si>
  <si>
    <t>Employee Name</t>
  </si>
  <si>
    <t>Salary</t>
  </si>
  <si>
    <t>Bonus Status</t>
  </si>
  <si>
    <t>Rohit</t>
  </si>
  <si>
    <t>Simran</t>
  </si>
  <si>
    <t>Vijay</t>
  </si>
  <si>
    <t>Nisha</t>
  </si>
  <si>
    <t>Salary ≥ 40000 → Bonus</t>
  </si>
  <si>
    <t>Else → No Bonus</t>
  </si>
  <si>
    <t>Grade</t>
  </si>
  <si>
    <t>≥ 75 → A</t>
  </si>
  <si>
    <t>≥ 60 → B</t>
  </si>
  <si>
    <t>≥ 40 → C</t>
  </si>
  <si>
    <t>&lt; 40 → Fail</t>
  </si>
  <si>
    <t>Name</t>
  </si>
  <si>
    <t>Age</t>
  </si>
  <si>
    <t>Experience (Years)</t>
  </si>
  <si>
    <t>Eligible</t>
  </si>
  <si>
    <t>Age ≥ 21 AND Experience ≥ 1 → Eligible</t>
  </si>
  <si>
    <t>Attendance %</t>
  </si>
  <si>
    <t>Assignment Submitted</t>
  </si>
  <si>
    <t>Yes</t>
  </si>
  <si>
    <t>No</t>
  </si>
  <si>
    <t>Attendance ≥ 75 AND Assignment = Yes</t>
  </si>
  <si>
    <t>Customer Name</t>
  </si>
  <si>
    <t>Purchase Amount</t>
  </si>
  <si>
    <t>Membership</t>
  </si>
  <si>
    <t>Discount</t>
  </si>
  <si>
    <t>Aakash</t>
  </si>
  <si>
    <t>Bhavna</t>
  </si>
  <si>
    <t>Divya</t>
  </si>
  <si>
    <t>Purchase ≥ 10000 OR Membership = Yes</t>
  </si>
  <si>
    <t>Applicant</t>
  </si>
  <si>
    <t>CIBIL Score</t>
  </si>
  <si>
    <t>Loan Status</t>
  </si>
  <si>
    <t>Salary ≥ 40000 OR CIBIL ≥ 700</t>
  </si>
  <si>
    <t>Present</t>
  </si>
  <si>
    <t>Status</t>
  </si>
  <si>
    <t>If NOT Present → Absent</t>
  </si>
  <si>
    <t>Else → Present</t>
  </si>
  <si>
    <t>Number 1</t>
  </si>
  <si>
    <t>Number 2</t>
  </si>
  <si>
    <t>Divide Number 1 by Number 2</t>
  </si>
  <si>
    <t>If error → show "Invalid"</t>
  </si>
  <si>
    <t>Targets Achieved</t>
  </si>
  <si>
    <t>Performance</t>
  </si>
  <si>
    <t>Raj</t>
  </si>
  <si>
    <t>Sunita</t>
  </si>
  <si>
    <t>Manoj</t>
  </si>
  <si>
    <t>Kavita</t>
  </si>
  <si>
    <t>Attendance ≥ 90 AND Targets ≥ 40 → Excellent</t>
  </si>
  <si>
    <t>Attendance ≥ 80 → Good</t>
  </si>
  <si>
    <t>Else → Needs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</si>
</sst>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1"/>
      <color theme="1"/>
      <name val="Calibri"/>
      <family val="2"/>
      <scheme val="minor"/>
    </font>
    <font>
      <sz val="13.75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left" vertical="center" wrapText="1" indent="1"/>
    </xf>
    <xf numFmtId="0" fontId="3" fillId="2" borderId="0" xfId="0" applyFont="1" applyFill="1" applyAlignment="1">
      <alignment vertical="center" wrapText="1"/>
    </xf>
    <xf numFmtId="0" fontId="0" fillId="2" borderId="0" xfId="0" applyFont="1" applyFill="1"/>
    <xf numFmtId="0" fontId="1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41E7C-9983-445E-B7D9-BBF13079A42F}">
  <dimension ref="A1:L9"/>
  <sheetViews>
    <sheetView zoomScale="130" zoomScaleNormal="130" workbookViewId="0">
      <selection activeCell="E11" sqref="E11"/>
    </sheetView>
  </sheetViews>
  <sheetFormatPr defaultRowHeight="14.4" x14ac:dyDescent="0.3"/>
  <sheetData>
    <row r="1" spans="1:12" ht="29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I1" s="1" t="s">
        <v>0</v>
      </c>
      <c r="J1" s="1" t="s">
        <v>1</v>
      </c>
      <c r="K1" s="1" t="s">
        <v>2</v>
      </c>
      <c r="L1" s="1" t="s">
        <v>3</v>
      </c>
    </row>
    <row r="2" spans="1:12" ht="15" thickBot="1" x14ac:dyDescent="0.35">
      <c r="A2" s="2">
        <v>1</v>
      </c>
      <c r="B2" s="2" t="s">
        <v>4</v>
      </c>
      <c r="C2" s="2">
        <v>78</v>
      </c>
      <c r="D2" s="2"/>
      <c r="I2" s="2">
        <v>1</v>
      </c>
      <c r="J2" s="2" t="s">
        <v>4</v>
      </c>
      <c r="K2" s="2">
        <v>78</v>
      </c>
      <c r="L2" s="2" t="str">
        <f>IF(K2&gt;=40,"pass","fail")</f>
        <v>pass</v>
      </c>
    </row>
    <row r="3" spans="1:12" ht="15" thickBot="1" x14ac:dyDescent="0.35">
      <c r="A3" s="2">
        <v>2</v>
      </c>
      <c r="B3" s="2" t="s">
        <v>5</v>
      </c>
      <c r="C3" s="2">
        <v>35</v>
      </c>
      <c r="D3" s="2"/>
      <c r="I3" s="2">
        <v>2</v>
      </c>
      <c r="J3" s="2" t="s">
        <v>5</v>
      </c>
      <c r="K3" s="2">
        <v>35</v>
      </c>
      <c r="L3" s="2" t="str">
        <f t="shared" ref="L3:L6" si="0">IF(K3&gt;=40,"pass","fail")</f>
        <v>fail</v>
      </c>
    </row>
    <row r="4" spans="1:12" ht="15" thickBot="1" x14ac:dyDescent="0.35">
      <c r="A4" s="2">
        <v>3</v>
      </c>
      <c r="B4" s="2" t="s">
        <v>6</v>
      </c>
      <c r="C4" s="2">
        <v>62</v>
      </c>
      <c r="D4" s="2"/>
      <c r="I4" s="2">
        <v>3</v>
      </c>
      <c r="J4" s="2" t="s">
        <v>6</v>
      </c>
      <c r="K4" s="2">
        <v>62</v>
      </c>
      <c r="L4" s="2" t="str">
        <f t="shared" si="0"/>
        <v>pass</v>
      </c>
    </row>
    <row r="5" spans="1:12" ht="15" thickBot="1" x14ac:dyDescent="0.35">
      <c r="A5" s="2">
        <v>4</v>
      </c>
      <c r="B5" s="2" t="s">
        <v>7</v>
      </c>
      <c r="C5" s="2">
        <v>40</v>
      </c>
      <c r="D5" s="2"/>
      <c r="I5" s="2">
        <v>4</v>
      </c>
      <c r="J5" s="2" t="s">
        <v>7</v>
      </c>
      <c r="K5" s="2">
        <v>40</v>
      </c>
      <c r="L5" s="2" t="str">
        <f t="shared" si="0"/>
        <v>pass</v>
      </c>
    </row>
    <row r="6" spans="1:12" ht="15" thickBot="1" x14ac:dyDescent="0.35">
      <c r="A6" s="2">
        <v>5</v>
      </c>
      <c r="B6" s="2" t="s">
        <v>8</v>
      </c>
      <c r="C6" s="2">
        <v>28</v>
      </c>
      <c r="D6" s="2"/>
      <c r="I6" s="2">
        <v>5</v>
      </c>
      <c r="J6" s="2" t="s">
        <v>8</v>
      </c>
      <c r="K6" s="2">
        <v>28</v>
      </c>
      <c r="L6" s="2" t="str">
        <f t="shared" si="0"/>
        <v>fail</v>
      </c>
    </row>
    <row r="7" spans="1:12" ht="20.399999999999999" x14ac:dyDescent="0.3">
      <c r="A7" s="3" t="s">
        <v>9</v>
      </c>
      <c r="B7" s="4"/>
      <c r="C7" s="4"/>
      <c r="D7" s="4"/>
    </row>
    <row r="8" spans="1:12" ht="60" x14ac:dyDescent="0.3">
      <c r="A8" s="5" t="s">
        <v>10</v>
      </c>
      <c r="B8" s="4"/>
      <c r="C8" s="4"/>
      <c r="D8" s="4"/>
    </row>
    <row r="9" spans="1:12" ht="30" x14ac:dyDescent="0.3">
      <c r="A9" s="5" t="s">
        <v>11</v>
      </c>
      <c r="B9" s="4"/>
      <c r="C9" s="4"/>
      <c r="D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DDBE3-18EB-4B88-A386-1889AA3E6CF8}">
  <dimension ref="A1:M8"/>
  <sheetViews>
    <sheetView zoomScale="115" zoomScaleNormal="115" workbookViewId="0">
      <selection activeCell="K8" sqref="K8"/>
    </sheetView>
  </sheetViews>
  <sheetFormatPr defaultRowHeight="14.4" x14ac:dyDescent="0.3"/>
  <cols>
    <col min="13" max="13" width="11.5546875" customWidth="1"/>
  </cols>
  <sheetData>
    <row r="1" spans="1:13" ht="29.4" thickBot="1" x14ac:dyDescent="0.35">
      <c r="A1" s="1" t="s">
        <v>12</v>
      </c>
      <c r="B1" s="1" t="s">
        <v>13</v>
      </c>
      <c r="C1" s="1" t="s">
        <v>14</v>
      </c>
      <c r="K1" s="1" t="s">
        <v>12</v>
      </c>
      <c r="L1" s="1" t="s">
        <v>13</v>
      </c>
      <c r="M1" s="1" t="s">
        <v>14</v>
      </c>
    </row>
    <row r="2" spans="1:13" ht="15" thickBot="1" x14ac:dyDescent="0.35">
      <c r="A2" s="2" t="s">
        <v>15</v>
      </c>
      <c r="B2" s="2">
        <v>28000</v>
      </c>
      <c r="C2" s="2"/>
      <c r="K2" s="2" t="s">
        <v>15</v>
      </c>
      <c r="L2" s="2">
        <v>28000</v>
      </c>
      <c r="M2" s="2" t="str">
        <f>IF(L2&gt;=40000,"Bonus","no bonus")</f>
        <v>no bonus</v>
      </c>
    </row>
    <row r="3" spans="1:13" ht="15" thickBot="1" x14ac:dyDescent="0.35">
      <c r="A3" s="2" t="s">
        <v>16</v>
      </c>
      <c r="B3" s="2">
        <v>45000</v>
      </c>
      <c r="C3" s="2"/>
      <c r="K3" s="2" t="s">
        <v>16</v>
      </c>
      <c r="L3" s="2">
        <v>45000</v>
      </c>
      <c r="M3" s="2" t="str">
        <f t="shared" ref="M3:M5" si="0">IF(L3&gt;=40000,"Bonus","no bonus")</f>
        <v>Bonus</v>
      </c>
    </row>
    <row r="4" spans="1:13" ht="15" thickBot="1" x14ac:dyDescent="0.35">
      <c r="A4" s="2" t="s">
        <v>17</v>
      </c>
      <c r="B4" s="2">
        <v>52000</v>
      </c>
      <c r="C4" s="2"/>
      <c r="K4" s="2" t="s">
        <v>17</v>
      </c>
      <c r="L4" s="2">
        <v>52000</v>
      </c>
      <c r="M4" s="2" t="str">
        <f t="shared" si="0"/>
        <v>Bonus</v>
      </c>
    </row>
    <row r="5" spans="1:13" ht="15" thickBot="1" x14ac:dyDescent="0.35">
      <c r="A5" s="2" t="s">
        <v>18</v>
      </c>
      <c r="B5" s="2">
        <v>30000</v>
      </c>
      <c r="C5" s="2"/>
      <c r="K5" s="2" t="s">
        <v>18</v>
      </c>
      <c r="L5" s="2">
        <v>30000</v>
      </c>
      <c r="M5" s="2" t="str">
        <f t="shared" si="0"/>
        <v>no bonus</v>
      </c>
    </row>
    <row r="6" spans="1:13" ht="20.399999999999999" x14ac:dyDescent="0.3">
      <c r="A6" s="3" t="s">
        <v>9</v>
      </c>
      <c r="B6" s="4"/>
      <c r="C6" s="4"/>
    </row>
    <row r="7" spans="1:13" ht="75" x14ac:dyDescent="0.3">
      <c r="A7" s="5" t="s">
        <v>19</v>
      </c>
      <c r="B7" s="4"/>
      <c r="C7" s="4"/>
    </row>
    <row r="8" spans="1:13" ht="45" x14ac:dyDescent="0.3">
      <c r="A8" s="5" t="s">
        <v>20</v>
      </c>
      <c r="B8" s="4"/>
      <c r="C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1CBE5-6553-4CEB-9F05-AAAA53C186B0}">
  <dimension ref="A1:J11"/>
  <sheetViews>
    <sheetView zoomScale="130" zoomScaleNormal="130" workbookViewId="0">
      <selection activeCell="J2" sqref="J2"/>
    </sheetView>
  </sheetViews>
  <sheetFormatPr defaultRowHeight="14.4" x14ac:dyDescent="0.3"/>
  <sheetData>
    <row r="1" spans="1:10" ht="29.4" thickBot="1" x14ac:dyDescent="0.35">
      <c r="A1" s="1" t="s">
        <v>1</v>
      </c>
      <c r="B1" s="1" t="s">
        <v>2</v>
      </c>
      <c r="C1" s="1" t="s">
        <v>21</v>
      </c>
      <c r="H1" s="1" t="s">
        <v>1</v>
      </c>
      <c r="I1" s="1" t="s">
        <v>2</v>
      </c>
      <c r="J1" s="1" t="s">
        <v>21</v>
      </c>
    </row>
    <row r="2" spans="1:10" ht="15" thickBot="1" x14ac:dyDescent="0.35">
      <c r="A2" s="2" t="s">
        <v>4</v>
      </c>
      <c r="B2" s="2">
        <v>82</v>
      </c>
      <c r="C2" s="2"/>
      <c r="H2" s="2" t="s">
        <v>4</v>
      </c>
      <c r="I2" s="2">
        <v>82</v>
      </c>
      <c r="J2" s="2" t="str">
        <f>IF(I2&gt;=75,"A",IF(I2&gt;=60,"B",IF(I2&gt;=40,"C",IF(I2&lt;40,"Fail"))))</f>
        <v>A</v>
      </c>
    </row>
    <row r="3" spans="1:10" ht="15" thickBot="1" x14ac:dyDescent="0.35">
      <c r="A3" s="2" t="s">
        <v>5</v>
      </c>
      <c r="B3" s="2">
        <v>67</v>
      </c>
      <c r="C3" s="2"/>
      <c r="H3" s="2" t="s">
        <v>5</v>
      </c>
      <c r="I3" s="2">
        <v>67</v>
      </c>
      <c r="J3" s="2" t="str">
        <f t="shared" ref="J3:J6" si="0">IF(I3&gt;=75,"A",IF(I3&gt;=60,"B",IF(I3&gt;=40,"C",IF(I3&lt;40,"Fail"))))</f>
        <v>B</v>
      </c>
    </row>
    <row r="4" spans="1:10" ht="15" thickBot="1" x14ac:dyDescent="0.35">
      <c r="A4" s="2" t="s">
        <v>6</v>
      </c>
      <c r="B4" s="2">
        <v>45</v>
      </c>
      <c r="C4" s="2"/>
      <c r="H4" s="2" t="s">
        <v>6</v>
      </c>
      <c r="I4" s="2">
        <v>45</v>
      </c>
      <c r="J4" s="2" t="str">
        <f t="shared" si="0"/>
        <v>C</v>
      </c>
    </row>
    <row r="5" spans="1:10" ht="15" thickBot="1" x14ac:dyDescent="0.35">
      <c r="A5" s="2" t="s">
        <v>7</v>
      </c>
      <c r="B5" s="2">
        <v>33</v>
      </c>
      <c r="C5" s="2"/>
      <c r="H5" s="2" t="s">
        <v>7</v>
      </c>
      <c r="I5" s="2">
        <v>33</v>
      </c>
      <c r="J5" s="2" t="str">
        <f t="shared" si="0"/>
        <v>Fail</v>
      </c>
    </row>
    <row r="6" spans="1:10" ht="15" thickBot="1" x14ac:dyDescent="0.35">
      <c r="A6" s="2" t="s">
        <v>8</v>
      </c>
      <c r="B6" s="2">
        <v>90</v>
      </c>
      <c r="C6" s="2"/>
      <c r="H6" s="2" t="s">
        <v>8</v>
      </c>
      <c r="I6" s="2">
        <v>90</v>
      </c>
      <c r="J6" s="2" t="str">
        <f t="shared" si="0"/>
        <v>A</v>
      </c>
    </row>
    <row r="7" spans="1:10" ht="20.399999999999999" x14ac:dyDescent="0.3">
      <c r="A7" s="3" t="s">
        <v>9</v>
      </c>
      <c r="B7" s="4"/>
      <c r="C7" s="4"/>
    </row>
    <row r="8" spans="1:10" ht="30" x14ac:dyDescent="0.3">
      <c r="A8" s="5" t="s">
        <v>22</v>
      </c>
      <c r="B8" s="4"/>
      <c r="C8" s="4"/>
    </row>
    <row r="9" spans="1:10" ht="30" x14ac:dyDescent="0.3">
      <c r="A9" s="5" t="s">
        <v>23</v>
      </c>
      <c r="B9" s="4"/>
      <c r="C9" s="4"/>
    </row>
    <row r="10" spans="1:10" ht="30" x14ac:dyDescent="0.3">
      <c r="A10" s="5" t="s">
        <v>24</v>
      </c>
      <c r="B10" s="4"/>
      <c r="C10" s="4"/>
    </row>
    <row r="11" spans="1:10" ht="30" x14ac:dyDescent="0.3">
      <c r="A11" s="5" t="s">
        <v>25</v>
      </c>
      <c r="B11" s="4"/>
      <c r="C11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8EB-3A36-46E5-9B30-194B35D7C805}">
  <dimension ref="A1:M7"/>
  <sheetViews>
    <sheetView workbookViewId="0">
      <selection activeCell="M2" sqref="M2"/>
    </sheetView>
  </sheetViews>
  <sheetFormatPr defaultRowHeight="14.4" x14ac:dyDescent="0.3"/>
  <cols>
    <col min="13" max="13" width="11.5546875" customWidth="1"/>
  </cols>
  <sheetData>
    <row r="1" spans="1:13" ht="43.8" thickBot="1" x14ac:dyDescent="0.35">
      <c r="A1" s="1" t="s">
        <v>26</v>
      </c>
      <c r="B1" s="1" t="s">
        <v>27</v>
      </c>
      <c r="C1" s="1" t="s">
        <v>28</v>
      </c>
      <c r="D1" s="1" t="s">
        <v>29</v>
      </c>
      <c r="J1" s="1" t="s">
        <v>26</v>
      </c>
      <c r="K1" s="1" t="s">
        <v>27</v>
      </c>
      <c r="L1" s="1" t="s">
        <v>28</v>
      </c>
      <c r="M1" s="1" t="s">
        <v>29</v>
      </c>
    </row>
    <row r="2" spans="1:13" ht="15" thickBot="1" x14ac:dyDescent="0.35">
      <c r="A2" s="2" t="s">
        <v>15</v>
      </c>
      <c r="B2" s="2">
        <v>25</v>
      </c>
      <c r="C2" s="2">
        <v>2</v>
      </c>
      <c r="D2" s="2"/>
      <c r="J2" s="2" t="s">
        <v>15</v>
      </c>
      <c r="K2" s="2">
        <v>25</v>
      </c>
      <c r="L2" s="2">
        <v>2</v>
      </c>
      <c r="M2" s="2" t="str">
        <f>IF(AND(K2&gt;=21,L2&gt;=1),"Eligible","not eligible")</f>
        <v>Eligible</v>
      </c>
    </row>
    <row r="3" spans="1:13" ht="15" thickBot="1" x14ac:dyDescent="0.35">
      <c r="A3" s="2" t="s">
        <v>16</v>
      </c>
      <c r="B3" s="2">
        <v>20</v>
      </c>
      <c r="C3" s="2">
        <v>1</v>
      </c>
      <c r="D3" s="2"/>
      <c r="J3" s="2" t="s">
        <v>16</v>
      </c>
      <c r="K3" s="2">
        <v>20</v>
      </c>
      <c r="L3" s="2">
        <v>1</v>
      </c>
      <c r="M3" s="2" t="str">
        <f t="shared" ref="M3:M5" si="0">IF(AND(K3&gt;=21,L3&gt;=1),"Eligible","not eligible")</f>
        <v>not eligible</v>
      </c>
    </row>
    <row r="4" spans="1:13" ht="15" thickBot="1" x14ac:dyDescent="0.35">
      <c r="A4" s="2" t="s">
        <v>17</v>
      </c>
      <c r="B4" s="2">
        <v>30</v>
      </c>
      <c r="C4" s="2">
        <v>5</v>
      </c>
      <c r="D4" s="2"/>
      <c r="J4" s="2" t="s">
        <v>17</v>
      </c>
      <c r="K4" s="2">
        <v>30</v>
      </c>
      <c r="L4" s="2">
        <v>5</v>
      </c>
      <c r="M4" s="2" t="str">
        <f t="shared" si="0"/>
        <v>Eligible</v>
      </c>
    </row>
    <row r="5" spans="1:13" ht="15" thickBot="1" x14ac:dyDescent="0.35">
      <c r="A5" s="2" t="s">
        <v>18</v>
      </c>
      <c r="B5" s="2">
        <v>22</v>
      </c>
      <c r="C5" s="2">
        <v>0</v>
      </c>
      <c r="D5" s="2"/>
      <c r="J5" s="2" t="s">
        <v>18</v>
      </c>
      <c r="K5" s="2">
        <v>22</v>
      </c>
      <c r="L5" s="2">
        <v>0</v>
      </c>
      <c r="M5" s="2" t="str">
        <f t="shared" si="0"/>
        <v>not eligible</v>
      </c>
    </row>
    <row r="6" spans="1:13" ht="20.399999999999999" x14ac:dyDescent="0.3">
      <c r="A6" s="3" t="s">
        <v>9</v>
      </c>
      <c r="B6" s="4"/>
      <c r="C6" s="4"/>
      <c r="D6" s="4"/>
    </row>
    <row r="7" spans="1:13" ht="90" x14ac:dyDescent="0.3">
      <c r="A7" s="5" t="s">
        <v>30</v>
      </c>
      <c r="B7" s="4"/>
      <c r="C7" s="4"/>
      <c r="D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1CDD4-0A70-4F3D-9858-16CDF6C154A4}">
  <dimension ref="A1:M7"/>
  <sheetViews>
    <sheetView tabSelected="1" zoomScale="115" zoomScaleNormal="115" workbookViewId="0">
      <selection activeCell="K7" sqref="K7"/>
    </sheetView>
  </sheetViews>
  <sheetFormatPr defaultRowHeight="14.4" x14ac:dyDescent="0.3"/>
  <cols>
    <col min="13" max="13" width="12" customWidth="1"/>
  </cols>
  <sheetData>
    <row r="1" spans="1:13" ht="58.2" thickBot="1" x14ac:dyDescent="0.35">
      <c r="A1" s="1" t="s">
        <v>1</v>
      </c>
      <c r="B1" s="1" t="s">
        <v>31</v>
      </c>
      <c r="C1" s="1" t="s">
        <v>32</v>
      </c>
      <c r="D1" s="1" t="s">
        <v>29</v>
      </c>
      <c r="J1" s="1" t="s">
        <v>1</v>
      </c>
      <c r="K1" s="1" t="s">
        <v>31</v>
      </c>
      <c r="L1" s="1" t="s">
        <v>32</v>
      </c>
      <c r="M1" s="1" t="s">
        <v>29</v>
      </c>
    </row>
    <row r="2" spans="1:13" ht="15" thickBot="1" x14ac:dyDescent="0.35">
      <c r="A2" s="2" t="s">
        <v>4</v>
      </c>
      <c r="B2" s="2">
        <v>85</v>
      </c>
      <c r="C2" s="2" t="s">
        <v>33</v>
      </c>
      <c r="D2" s="2"/>
      <c r="J2" s="2" t="s">
        <v>4</v>
      </c>
      <c r="K2" s="2">
        <v>85</v>
      </c>
      <c r="L2" s="2" t="s">
        <v>33</v>
      </c>
      <c r="M2" s="2" t="str">
        <f>IF(AND(K2&gt;=75,L2="yes"),"eligible","not eligible")</f>
        <v>eligible</v>
      </c>
    </row>
    <row r="3" spans="1:13" ht="15" thickBot="1" x14ac:dyDescent="0.35">
      <c r="A3" s="2" t="s">
        <v>5</v>
      </c>
      <c r="B3" s="2">
        <v>72</v>
      </c>
      <c r="C3" s="2" t="s">
        <v>33</v>
      </c>
      <c r="D3" s="2"/>
      <c r="J3" s="2" t="s">
        <v>5</v>
      </c>
      <c r="K3" s="2">
        <v>72</v>
      </c>
      <c r="L3" s="2" t="s">
        <v>33</v>
      </c>
      <c r="M3" s="2" t="str">
        <f t="shared" ref="M3:M5" si="0">IF(AND(K3&gt;=75,L3="yes"),"eligible","not eligible")</f>
        <v>not eligible</v>
      </c>
    </row>
    <row r="4" spans="1:13" ht="15" thickBot="1" x14ac:dyDescent="0.35">
      <c r="A4" s="2" t="s">
        <v>6</v>
      </c>
      <c r="B4" s="2">
        <v>90</v>
      </c>
      <c r="C4" s="2" t="s">
        <v>34</v>
      </c>
      <c r="D4" s="2"/>
      <c r="J4" s="2" t="s">
        <v>6</v>
      </c>
      <c r="K4" s="2">
        <v>90</v>
      </c>
      <c r="L4" s="2" t="s">
        <v>34</v>
      </c>
      <c r="M4" s="2" t="str">
        <f t="shared" si="0"/>
        <v>not eligible</v>
      </c>
    </row>
    <row r="5" spans="1:13" ht="15" thickBot="1" x14ac:dyDescent="0.35">
      <c r="A5" s="2" t="s">
        <v>7</v>
      </c>
      <c r="B5" s="2">
        <v>80</v>
      </c>
      <c r="C5" s="2" t="s">
        <v>33</v>
      </c>
      <c r="D5" s="2"/>
      <c r="J5" s="2" t="s">
        <v>7</v>
      </c>
      <c r="K5" s="2">
        <v>80</v>
      </c>
      <c r="L5" s="2" t="s">
        <v>33</v>
      </c>
      <c r="M5" s="2" t="str">
        <f t="shared" si="0"/>
        <v>eligible</v>
      </c>
    </row>
    <row r="6" spans="1:13" ht="20.399999999999999" x14ac:dyDescent="0.3">
      <c r="A6" s="3" t="s">
        <v>9</v>
      </c>
      <c r="B6" s="4"/>
      <c r="C6" s="4"/>
      <c r="D6" s="4"/>
    </row>
    <row r="7" spans="1:13" ht="90" x14ac:dyDescent="0.3">
      <c r="A7" s="5" t="s">
        <v>35</v>
      </c>
      <c r="B7" s="4"/>
      <c r="C7" s="4"/>
      <c r="D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97F2D-99C4-4EA7-AFE2-3708DAD7DB1D}">
  <dimension ref="A1:M7"/>
  <sheetViews>
    <sheetView zoomScale="115" zoomScaleNormal="115" workbookViewId="0">
      <selection activeCell="G11" sqref="G11"/>
    </sheetView>
  </sheetViews>
  <sheetFormatPr defaultRowHeight="14.4" x14ac:dyDescent="0.3"/>
  <cols>
    <col min="13" max="13" width="14.6640625" customWidth="1"/>
  </cols>
  <sheetData>
    <row r="1" spans="1:13" ht="43.8" thickBot="1" x14ac:dyDescent="0.35">
      <c r="A1" s="1" t="s">
        <v>36</v>
      </c>
      <c r="B1" s="1" t="s">
        <v>37</v>
      </c>
      <c r="C1" s="1" t="s">
        <v>38</v>
      </c>
      <c r="D1" s="1" t="s">
        <v>39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 ht="15" thickBot="1" x14ac:dyDescent="0.35">
      <c r="A2" s="2" t="s">
        <v>40</v>
      </c>
      <c r="B2" s="2">
        <v>9000</v>
      </c>
      <c r="C2" s="2" t="s">
        <v>34</v>
      </c>
      <c r="D2" s="2"/>
      <c r="J2" s="2" t="s">
        <v>40</v>
      </c>
      <c r="K2" s="2">
        <v>9000</v>
      </c>
      <c r="L2" s="2" t="s">
        <v>34</v>
      </c>
      <c r="M2" s="2" t="str">
        <f>IF(OR(K2&gt;=10000,L2="yes"),"discount","not discount")</f>
        <v>not discount</v>
      </c>
    </row>
    <row r="3" spans="1:13" ht="15" thickBot="1" x14ac:dyDescent="0.35">
      <c r="A3" s="2" t="s">
        <v>41</v>
      </c>
      <c r="B3" s="2">
        <v>12000</v>
      </c>
      <c r="C3" s="2" t="s">
        <v>34</v>
      </c>
      <c r="D3" s="2"/>
      <c r="J3" s="2" t="s">
        <v>41</v>
      </c>
      <c r="K3" s="2">
        <v>12000</v>
      </c>
      <c r="L3" s="2" t="s">
        <v>34</v>
      </c>
      <c r="M3" s="2" t="str">
        <f t="shared" ref="M3:M5" si="0">IF(OR(K3&gt;=10000,L3="yes"),"discount","not discount")</f>
        <v>discount</v>
      </c>
    </row>
    <row r="4" spans="1:13" ht="15" thickBot="1" x14ac:dyDescent="0.35">
      <c r="A4" s="2" t="s">
        <v>6</v>
      </c>
      <c r="B4" s="2">
        <v>4000</v>
      </c>
      <c r="C4" s="2" t="s">
        <v>33</v>
      </c>
      <c r="D4" s="2"/>
      <c r="J4" s="2" t="s">
        <v>6</v>
      </c>
      <c r="K4" s="2">
        <v>4000</v>
      </c>
      <c r="L4" s="2" t="s">
        <v>33</v>
      </c>
      <c r="M4" s="2" t="str">
        <f t="shared" si="0"/>
        <v>discount</v>
      </c>
    </row>
    <row r="5" spans="1:13" ht="15" thickBot="1" x14ac:dyDescent="0.35">
      <c r="A5" s="2" t="s">
        <v>42</v>
      </c>
      <c r="B5" s="2">
        <v>3000</v>
      </c>
      <c r="C5" s="2" t="s">
        <v>34</v>
      </c>
      <c r="D5" s="2"/>
      <c r="J5" s="2" t="s">
        <v>42</v>
      </c>
      <c r="K5" s="2">
        <v>3000</v>
      </c>
      <c r="L5" s="2" t="s">
        <v>34</v>
      </c>
      <c r="M5" s="2" t="str">
        <f t="shared" si="0"/>
        <v>not discount</v>
      </c>
    </row>
    <row r="6" spans="1:13" ht="20.399999999999999" x14ac:dyDescent="0.3">
      <c r="A6" s="3" t="s">
        <v>9</v>
      </c>
      <c r="B6" s="4"/>
      <c r="C6" s="4"/>
      <c r="D6" s="4"/>
    </row>
    <row r="7" spans="1:13" ht="105" x14ac:dyDescent="0.3">
      <c r="A7" s="5" t="s">
        <v>43</v>
      </c>
      <c r="B7" s="4"/>
      <c r="C7" s="4"/>
      <c r="D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5E7B7-64AC-49E8-91F4-06A360A0C553}">
  <dimension ref="A1:L7"/>
  <sheetViews>
    <sheetView zoomScale="115" zoomScaleNormal="115" workbookViewId="0">
      <selection activeCell="J7" sqref="J7"/>
    </sheetView>
  </sheetViews>
  <sheetFormatPr defaultRowHeight="14.4" x14ac:dyDescent="0.3"/>
  <cols>
    <col min="12" max="12" width="15.109375" customWidth="1"/>
  </cols>
  <sheetData>
    <row r="1" spans="1:12" ht="29.4" thickBot="1" x14ac:dyDescent="0.35">
      <c r="A1" s="1" t="s">
        <v>44</v>
      </c>
      <c r="B1" s="1" t="s">
        <v>13</v>
      </c>
      <c r="C1" s="1" t="s">
        <v>45</v>
      </c>
      <c r="D1" s="1" t="s">
        <v>46</v>
      </c>
      <c r="I1" s="1" t="s">
        <v>44</v>
      </c>
      <c r="J1" s="1" t="s">
        <v>13</v>
      </c>
      <c r="K1" s="1" t="s">
        <v>45</v>
      </c>
      <c r="L1" s="1" t="s">
        <v>46</v>
      </c>
    </row>
    <row r="2" spans="1:12" ht="15" thickBot="1" x14ac:dyDescent="0.35">
      <c r="A2" s="2" t="s">
        <v>15</v>
      </c>
      <c r="B2" s="2">
        <v>35000</v>
      </c>
      <c r="C2" s="2">
        <v>720</v>
      </c>
      <c r="D2" s="2"/>
      <c r="I2" s="2" t="s">
        <v>15</v>
      </c>
      <c r="J2" s="2">
        <v>35000</v>
      </c>
      <c r="K2" s="2">
        <v>720</v>
      </c>
      <c r="L2" s="2" t="str">
        <f>IF(OR(J2&gt;=40000,K2&gt;=700),"Approval","not approval")</f>
        <v>Approval</v>
      </c>
    </row>
    <row r="3" spans="1:12" ht="15" thickBot="1" x14ac:dyDescent="0.35">
      <c r="A3" s="2" t="s">
        <v>16</v>
      </c>
      <c r="B3" s="2">
        <v>25000</v>
      </c>
      <c r="C3" s="2">
        <v>680</v>
      </c>
      <c r="D3" s="2"/>
      <c r="I3" s="2" t="s">
        <v>16</v>
      </c>
      <c r="J3" s="2">
        <v>25000</v>
      </c>
      <c r="K3" s="2">
        <v>680</v>
      </c>
      <c r="L3" s="2" t="str">
        <f t="shared" ref="L3:L5" si="0">IF(OR(J3&gt;=40000,K3&gt;=700),"Approval","not approval")</f>
        <v>not approval</v>
      </c>
    </row>
    <row r="4" spans="1:12" ht="15" thickBot="1" x14ac:dyDescent="0.35">
      <c r="A4" s="2" t="s">
        <v>17</v>
      </c>
      <c r="B4" s="2">
        <v>50000</v>
      </c>
      <c r="C4" s="2">
        <v>650</v>
      </c>
      <c r="D4" s="2"/>
      <c r="I4" s="2" t="s">
        <v>17</v>
      </c>
      <c r="J4" s="2">
        <v>50000</v>
      </c>
      <c r="K4" s="2">
        <v>650</v>
      </c>
      <c r="L4" s="2" t="str">
        <f t="shared" si="0"/>
        <v>Approval</v>
      </c>
    </row>
    <row r="5" spans="1:12" ht="15" thickBot="1" x14ac:dyDescent="0.35">
      <c r="A5" s="2" t="s">
        <v>18</v>
      </c>
      <c r="B5" s="2">
        <v>20000</v>
      </c>
      <c r="C5" s="2">
        <v>600</v>
      </c>
      <c r="D5" s="2"/>
      <c r="I5" s="2" t="s">
        <v>18</v>
      </c>
      <c r="J5" s="2">
        <v>20000</v>
      </c>
      <c r="K5" s="2">
        <v>600</v>
      </c>
      <c r="L5" s="2" t="str">
        <f t="shared" si="0"/>
        <v>not approval</v>
      </c>
    </row>
    <row r="6" spans="1:12" ht="20.399999999999999" x14ac:dyDescent="0.3">
      <c r="A6" s="3" t="s">
        <v>9</v>
      </c>
      <c r="B6" s="4"/>
      <c r="C6" s="4"/>
      <c r="D6" s="4"/>
    </row>
    <row r="7" spans="1:12" ht="90" x14ac:dyDescent="0.3">
      <c r="A7" s="5" t="s">
        <v>47</v>
      </c>
      <c r="B7" s="4"/>
      <c r="C7" s="4"/>
      <c r="D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CB679-F189-4023-9B19-C2F4C0B88B2E}">
  <dimension ref="A1:K8"/>
  <sheetViews>
    <sheetView zoomScale="130" zoomScaleNormal="130" workbookViewId="0">
      <selection activeCell="I8" sqref="I8"/>
    </sheetView>
  </sheetViews>
  <sheetFormatPr defaultRowHeight="14.4" x14ac:dyDescent="0.3"/>
  <sheetData>
    <row r="1" spans="1:11" ht="15" thickBot="1" x14ac:dyDescent="0.35">
      <c r="A1" s="1" t="s">
        <v>26</v>
      </c>
      <c r="B1" s="1" t="s">
        <v>48</v>
      </c>
      <c r="C1" s="1" t="s">
        <v>49</v>
      </c>
      <c r="I1" s="1" t="s">
        <v>26</v>
      </c>
      <c r="J1" s="1" t="s">
        <v>48</v>
      </c>
      <c r="K1" s="1" t="s">
        <v>49</v>
      </c>
    </row>
    <row r="2" spans="1:11" ht="15" thickBot="1" x14ac:dyDescent="0.35">
      <c r="A2" s="2" t="s">
        <v>4</v>
      </c>
      <c r="B2" s="2" t="b">
        <v>1</v>
      </c>
      <c r="C2" s="2"/>
      <c r="I2" s="2" t="s">
        <v>4</v>
      </c>
      <c r="J2" s="2" t="b">
        <v>1</v>
      </c>
      <c r="K2" s="2" t="str">
        <f>IF(NOT(J2),"Absent","present")</f>
        <v>present</v>
      </c>
    </row>
    <row r="3" spans="1:11" ht="15" thickBot="1" x14ac:dyDescent="0.35">
      <c r="A3" s="2" t="s">
        <v>5</v>
      </c>
      <c r="B3" s="2" t="b">
        <v>0</v>
      </c>
      <c r="C3" s="2"/>
      <c r="I3" s="2" t="s">
        <v>5</v>
      </c>
      <c r="J3" s="2" t="b">
        <v>0</v>
      </c>
      <c r="K3" s="2" t="str">
        <f t="shared" ref="K3:K5" si="0">IF(NOT(J3),"Absent","present")</f>
        <v>Absent</v>
      </c>
    </row>
    <row r="4" spans="1:11" ht="15" thickBot="1" x14ac:dyDescent="0.35">
      <c r="A4" s="2" t="s">
        <v>6</v>
      </c>
      <c r="B4" s="2" t="b">
        <v>1</v>
      </c>
      <c r="C4" s="2"/>
      <c r="I4" s="2" t="s">
        <v>6</v>
      </c>
      <c r="J4" s="2" t="b">
        <v>1</v>
      </c>
      <c r="K4" s="2" t="str">
        <f t="shared" si="0"/>
        <v>present</v>
      </c>
    </row>
    <row r="5" spans="1:11" ht="15" thickBot="1" x14ac:dyDescent="0.35">
      <c r="A5" s="2" t="s">
        <v>7</v>
      </c>
      <c r="B5" s="2" t="b">
        <v>0</v>
      </c>
      <c r="C5" s="2"/>
      <c r="I5" s="2" t="s">
        <v>7</v>
      </c>
      <c r="J5" s="2" t="b">
        <v>0</v>
      </c>
      <c r="K5" s="2" t="str">
        <f t="shared" si="0"/>
        <v>Absent</v>
      </c>
    </row>
    <row r="6" spans="1:11" ht="20.399999999999999" x14ac:dyDescent="0.3">
      <c r="A6" s="3" t="s">
        <v>9</v>
      </c>
      <c r="B6" s="4"/>
      <c r="C6" s="4"/>
    </row>
    <row r="7" spans="1:11" ht="60" x14ac:dyDescent="0.3">
      <c r="A7" s="5" t="s">
        <v>50</v>
      </c>
      <c r="B7" s="4"/>
      <c r="C7" s="4"/>
    </row>
    <row r="8" spans="1:11" ht="30" x14ac:dyDescent="0.3">
      <c r="A8" s="5" t="s">
        <v>51</v>
      </c>
      <c r="B8" s="4"/>
      <c r="C8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37762-D7E1-44B8-834A-016CED4F5943}">
  <dimension ref="A1:L8"/>
  <sheetViews>
    <sheetView workbookViewId="0">
      <selection activeCell="L7" sqref="L7"/>
    </sheetView>
  </sheetViews>
  <sheetFormatPr defaultRowHeight="14.4" x14ac:dyDescent="0.3"/>
  <cols>
    <col min="12" max="12" width="9.33203125" bestFit="1" customWidth="1"/>
  </cols>
  <sheetData>
    <row r="1" spans="1:12" ht="29.4" thickBot="1" x14ac:dyDescent="0.35">
      <c r="A1" s="1" t="s">
        <v>52</v>
      </c>
      <c r="B1" s="1" t="s">
        <v>53</v>
      </c>
      <c r="C1" s="1" t="s">
        <v>3</v>
      </c>
      <c r="J1" s="1" t="s">
        <v>52</v>
      </c>
      <c r="K1" s="1" t="s">
        <v>53</v>
      </c>
      <c r="L1" s="1" t="s">
        <v>3</v>
      </c>
    </row>
    <row r="2" spans="1:12" ht="15" thickBot="1" x14ac:dyDescent="0.35">
      <c r="A2" s="2">
        <v>10</v>
      </c>
      <c r="B2" s="2">
        <v>2</v>
      </c>
      <c r="C2" s="2"/>
      <c r="J2" s="2">
        <v>10</v>
      </c>
      <c r="K2" s="2">
        <v>2</v>
      </c>
      <c r="L2" s="2">
        <f>IFERROR(J2/K2,"invalid")</f>
        <v>5</v>
      </c>
    </row>
    <row r="3" spans="1:12" ht="15" thickBot="1" x14ac:dyDescent="0.35">
      <c r="A3" s="2">
        <v>15</v>
      </c>
      <c r="B3" s="2">
        <v>0</v>
      </c>
      <c r="C3" s="2"/>
      <c r="J3" s="2">
        <v>15</v>
      </c>
      <c r="K3" s="2">
        <v>0</v>
      </c>
      <c r="L3" s="2" t="str">
        <f t="shared" ref="L3:L5" si="0">IFERROR(J3/K3,"invalid")</f>
        <v>invalid</v>
      </c>
    </row>
    <row r="4" spans="1:12" ht="15" thickBot="1" x14ac:dyDescent="0.35">
      <c r="A4" s="2">
        <v>20</v>
      </c>
      <c r="B4" s="2">
        <v>5</v>
      </c>
      <c r="C4" s="2"/>
      <c r="J4" s="2">
        <v>20</v>
      </c>
      <c r="K4" s="2">
        <v>5</v>
      </c>
      <c r="L4" s="2">
        <f t="shared" si="0"/>
        <v>4</v>
      </c>
    </row>
    <row r="5" spans="1:12" ht="15" thickBot="1" x14ac:dyDescent="0.35">
      <c r="A5" s="2">
        <v>8</v>
      </c>
      <c r="B5" s="2">
        <v>0</v>
      </c>
      <c r="C5" s="2"/>
      <c r="J5" s="2">
        <v>8</v>
      </c>
      <c r="K5" s="2">
        <v>0</v>
      </c>
      <c r="L5" s="2" t="str">
        <f t="shared" si="0"/>
        <v>invalid</v>
      </c>
    </row>
    <row r="6" spans="1:12" ht="20.399999999999999" x14ac:dyDescent="0.3">
      <c r="A6" s="3" t="s">
        <v>9</v>
      </c>
      <c r="B6" s="4"/>
      <c r="C6" s="4"/>
    </row>
    <row r="7" spans="1:12" ht="75" x14ac:dyDescent="0.3">
      <c r="A7" s="5" t="s">
        <v>54</v>
      </c>
      <c r="B7" s="4"/>
      <c r="C7" s="4"/>
    </row>
    <row r="8" spans="1:12" ht="60" x14ac:dyDescent="0.3">
      <c r="A8" s="5" t="s">
        <v>55</v>
      </c>
      <c r="B8" s="4"/>
      <c r="C8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5CEC8-19A0-4D4B-A7D4-524F25A8E30A}">
  <dimension ref="A1:M9"/>
  <sheetViews>
    <sheetView workbookViewId="0">
      <selection activeCell="M2" sqref="M2"/>
    </sheetView>
  </sheetViews>
  <sheetFormatPr defaultRowHeight="14.4" x14ac:dyDescent="0.3"/>
  <sheetData>
    <row r="1" spans="1:13" ht="43.8" thickBot="1" x14ac:dyDescent="0.35">
      <c r="A1" s="1" t="s">
        <v>12</v>
      </c>
      <c r="B1" s="1" t="s">
        <v>56</v>
      </c>
      <c r="C1" s="1" t="s">
        <v>31</v>
      </c>
      <c r="D1" s="1" t="s">
        <v>57</v>
      </c>
      <c r="J1" s="1" t="s">
        <v>12</v>
      </c>
      <c r="K1" s="1" t="s">
        <v>56</v>
      </c>
      <c r="L1" s="1" t="s">
        <v>31</v>
      </c>
      <c r="M1" s="1" t="s">
        <v>57</v>
      </c>
    </row>
    <row r="2" spans="1:13" ht="15" thickBot="1" x14ac:dyDescent="0.35">
      <c r="A2" s="2" t="s">
        <v>58</v>
      </c>
      <c r="B2" s="2">
        <v>45</v>
      </c>
      <c r="C2" s="2">
        <v>92</v>
      </c>
      <c r="D2" s="2"/>
      <c r="J2" s="2" t="s">
        <v>58</v>
      </c>
      <c r="K2" s="2">
        <v>45</v>
      </c>
      <c r="L2" s="2">
        <v>92</v>
      </c>
      <c r="M2" s="2"/>
    </row>
    <row r="3" spans="1:13" ht="15" thickBot="1" x14ac:dyDescent="0.35">
      <c r="A3" s="2" t="s">
        <v>59</v>
      </c>
      <c r="B3" s="2">
        <v>38</v>
      </c>
      <c r="C3" s="2">
        <v>85</v>
      </c>
      <c r="D3" s="2"/>
      <c r="J3" s="2" t="s">
        <v>59</v>
      </c>
      <c r="K3" s="2">
        <v>38</v>
      </c>
      <c r="L3" s="2">
        <v>85</v>
      </c>
      <c r="M3" s="2"/>
    </row>
    <row r="4" spans="1:13" ht="15" thickBot="1" x14ac:dyDescent="0.35">
      <c r="A4" s="2" t="s">
        <v>60</v>
      </c>
      <c r="B4" s="2">
        <v>50</v>
      </c>
      <c r="C4" s="2">
        <v>95</v>
      </c>
      <c r="D4" s="2"/>
      <c r="J4" s="2" t="s">
        <v>60</v>
      </c>
      <c r="K4" s="2">
        <v>50</v>
      </c>
      <c r="L4" s="2">
        <v>95</v>
      </c>
      <c r="M4" s="2"/>
    </row>
    <row r="5" spans="1:13" ht="15" thickBot="1" x14ac:dyDescent="0.35">
      <c r="A5" s="2" t="s">
        <v>61</v>
      </c>
      <c r="B5" s="2">
        <v>30</v>
      </c>
      <c r="C5" s="2">
        <v>70</v>
      </c>
      <c r="D5" s="2"/>
      <c r="J5" s="2" t="s">
        <v>61</v>
      </c>
      <c r="K5" s="2">
        <v>30</v>
      </c>
      <c r="L5" s="2">
        <v>70</v>
      </c>
      <c r="M5" s="2"/>
    </row>
    <row r="6" spans="1:13" ht="20.399999999999999" x14ac:dyDescent="0.3">
      <c r="A6" s="3" t="s">
        <v>9</v>
      </c>
      <c r="B6" s="4"/>
      <c r="C6" s="4"/>
      <c r="D6" s="4"/>
    </row>
    <row r="7" spans="1:13" ht="105" x14ac:dyDescent="0.3">
      <c r="A7" s="5" t="s">
        <v>62</v>
      </c>
      <c r="B7" s="4"/>
      <c r="C7" s="4"/>
      <c r="D7" s="4"/>
    </row>
    <row r="8" spans="1:13" ht="60" x14ac:dyDescent="0.3">
      <c r="A8" s="5" t="s">
        <v>63</v>
      </c>
      <c r="B8" s="4"/>
      <c r="C8" s="4"/>
      <c r="D8" s="4"/>
    </row>
    <row r="9" spans="1:13" ht="60" x14ac:dyDescent="0.3">
      <c r="A9" s="5" t="s">
        <v>64</v>
      </c>
      <c r="B9" s="4"/>
      <c r="C9" s="4"/>
      <c r="D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Pass   Fail using IF</vt:lpstr>
      <vt:lpstr>Salary Bonus Check (IF)</vt:lpstr>
      <vt:lpstr>Grade Calculation (Nested IF)</vt:lpstr>
      <vt:lpstr> Job Eligibility (AND)</vt:lpstr>
      <vt:lpstr>Exam Eligibility (AND)</vt:lpstr>
      <vt:lpstr>Discount Logic (OR)</vt:lpstr>
      <vt:lpstr>Loan Approval (OR)</vt:lpstr>
      <vt:lpstr>Attendance Status (NOT)</vt:lpstr>
      <vt:lpstr>Safe Division (IFERROR)</vt:lpstr>
      <vt:lpstr>Performance Evaluation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nauman tiburiwala</dc:creator>
  <cp:lastModifiedBy>nauman tiburiwala</cp:lastModifiedBy>
  <dcterms:created xsi:type="dcterms:W3CDTF">2026-01-29T08:55:27Z</dcterms:created>
  <dcterms:modified xsi:type="dcterms:W3CDTF">2026-02-02T14:47:00Z</dcterms:modified>
</cp:coreProperties>
</file>