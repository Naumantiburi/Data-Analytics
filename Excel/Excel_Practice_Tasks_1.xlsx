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MAN\OneDrive\Desktop\Adnai DA\Excel\"/>
    </mc:Choice>
  </mc:AlternateContent>
  <xr:revisionPtr revIDLastSave="0" documentId="13_ncr:1_{E8805547-4FCD-4573-A8F9-A74B52E4B906}" xr6:coauthVersionLast="47" xr6:coauthVersionMax="47" xr10:uidLastSave="{00000000-0000-0000-0000-000000000000}"/>
  <bookViews>
    <workbookView xWindow="-108" yWindow="-108" windowWidth="23256" windowHeight="12456" firstSheet="5" activeTab="9" xr2:uid="{67E1EAC6-20D5-4366-89B0-3452D46580B3}"/>
  </bookViews>
  <sheets>
    <sheet name="Employee Sheet" sheetId="1" r:id="rId1"/>
    <sheet name="Sales Report" sheetId="2" r:id="rId2"/>
    <sheet name=" Student Marks Sheet" sheetId="3" r:id="rId3"/>
    <sheet name="Sales Summary" sheetId="4" r:id="rId4"/>
    <sheet name="Department-wise Salary Analysis" sheetId="5" r:id="rId5"/>
    <sheet name=" Attendance Sheet " sheetId="6" r:id="rId6"/>
    <sheet name=" Sales Count Logic" sheetId="7" r:id="rId7"/>
    <sheet name="Conditional Formatting" sheetId="8" r:id="rId8"/>
    <sheet name="Student Result Highlight" sheetId="9" r:id="rId9"/>
    <sheet name="Salary Ba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  <c r="P2" i="4"/>
  <c r="O2" i="4"/>
  <c r="N2" i="4"/>
</calcChain>
</file>

<file path=xl/sharedStrings.xml><?xml version="1.0" encoding="utf-8"?>
<sst xmlns="http://schemas.openxmlformats.org/spreadsheetml/2006/main" count="393" uniqueCount="132">
  <si>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</si>
  <si>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</si>
  <si>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</si>
  <si>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</si>
  <si>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</si>
  <si>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</si>
  <si>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</si>
  <si>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</si>
  <si>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</si>
  <si>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</si>
  <si>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</si>
  <si>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</si>
  <si>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</si>
  <si>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</si>
  <si>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</si>
  <si>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</si>
  <si>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</si>
  <si>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</si>
  <si>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</si>
  <si>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</si>
  <si>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</si>
  <si>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</si>
  <si>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</si>
  <si>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</si>
  <si>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</si>
  <si>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</si>
  <si>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</si>
  <si>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</si>
  <si>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</si>
  <si>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</si>
  <si>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</si>
  <si>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</si>
  <si>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</si>
  <si>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</si>
  <si>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neel manani</t>
  </si>
  <si>
    <t>ritesh agarwal</t>
  </si>
  <si>
    <t>manish pandey</t>
  </si>
  <si>
    <t>virat kohli</t>
  </si>
  <si>
    <t>sachin tendulkar</t>
  </si>
  <si>
    <t>rahul tripathi</t>
  </si>
  <si>
    <t>rohit sharma</t>
  </si>
  <si>
    <t>zaid patel</t>
  </si>
  <si>
    <t>afzal bisora</t>
  </si>
  <si>
    <t>jacob duffy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</si>
  <si>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</si>
  <si>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</si>
  <si>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</si>
  <si>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</si>
  <si>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</si>
  <si>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</si>
  <si>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</si>
  <si>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</si>
  <si>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</si>
  <si>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</si>
  <si>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</si>
  <si>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</si>
  <si>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</si>
  <si>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</si>
  <si>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</si>
  <si>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</si>
  <si>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west</t>
  </si>
  <si>
    <t>hamza</t>
  </si>
  <si>
    <t>saif</t>
  </si>
  <si>
    <t>anas</t>
  </si>
  <si>
    <t>hasnain</t>
  </si>
  <si>
    <t>shagil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</si>
  <si>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</si>
  <si>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</si>
  <si>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</si>
  <si>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</si>
  <si>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</si>
  <si>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</si>
  <si>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</si>
  <si>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</si>
  <si>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</si>
  <si>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</si>
  <si>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</si>
  <si>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Invoice No</t>
  </si>
  <si>
    <t>Date</t>
  </si>
  <si>
    <t>INV001</t>
  </si>
  <si>
    <t>INV002</t>
  </si>
  <si>
    <t>INV003</t>
  </si>
  <si>
    <t>INV004</t>
  </si>
  <si>
    <t>INV005</t>
  </si>
  <si>
    <t>total sales</t>
  </si>
  <si>
    <t>Average sales</t>
  </si>
  <si>
    <t>highest sales</t>
  </si>
  <si>
    <t>lowest sales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</si>
  <si>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</si>
  <si>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</si>
  <si>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</si>
  <si>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</si>
  <si>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</si>
  <si>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</si>
  <si>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</si>
  <si>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</si>
  <si>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FINANCE</t>
  </si>
  <si>
    <t>Average salary</t>
  </si>
  <si>
    <t>count employees</t>
  </si>
  <si>
    <t>number</t>
  </si>
  <si>
    <t>Day 1</t>
  </si>
  <si>
    <t>Day 2</t>
  </si>
  <si>
    <t>Day 3</t>
  </si>
  <si>
    <t>Day 4</t>
  </si>
  <si>
    <t>Day 5</t>
  </si>
  <si>
    <t>P</t>
  </si>
  <si>
    <t>A</t>
  </si>
  <si>
    <t>count present</t>
  </si>
  <si>
    <t>count Absent</t>
  </si>
  <si>
    <t>Order ID</t>
  </si>
  <si>
    <t>O101</t>
  </si>
  <si>
    <t>O102</t>
  </si>
  <si>
    <t>O103</t>
  </si>
  <si>
    <t>O104</t>
  </si>
  <si>
    <t>O105</t>
  </si>
  <si>
    <t>O106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</si>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</sst>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 tint="4.9989318521683403E-2"/>
      <name val="Calibri"/>
      <family val="2"/>
      <scheme val="minor"/>
    </font>
    <font>
      <b/>
      <sz val="10"/>
      <color theme="1"/>
      <name val="Segoe UI"/>
      <family val="2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Segoe UI"/>
      <family val="2"/>
    </font>
    <font>
      <sz val="10"/>
      <color theme="1" tint="0.14999847407452621"/>
      <name val="Segoe UI"/>
      <family val="2"/>
    </font>
    <font>
      <b/>
      <sz val="10"/>
      <color theme="1" tint="0.14999847407452621"/>
      <name val="Segoe UI"/>
      <family val="2"/>
    </font>
    <font>
      <sz val="11"/>
      <color theme="1" tint="0.14999847407452621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center" wrapText="1"/>
    </xf>
    <xf numFmtId="169" fontId="0" fillId="0" borderId="0" xfId="0" applyNumberFormat="1"/>
    <xf numFmtId="0" fontId="4" fillId="3" borderId="7" xfId="0" applyFont="1" applyFill="1" applyBorder="1" applyAlignment="1">
      <alignment horizontal="center" vertical="center" wrapText="1"/>
    </xf>
    <xf numFmtId="169" fontId="4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9" fontId="2" fillId="3" borderId="7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169" fontId="0" fillId="3" borderId="7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3" borderId="0" xfId="0" applyFont="1" applyFill="1"/>
    <xf numFmtId="0" fontId="7" fillId="3" borderId="2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7" xfId="0" applyBorder="1"/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69" fontId="6" fillId="3" borderId="7" xfId="0" applyNumberFormat="1" applyFont="1" applyFill="1" applyBorder="1" applyAlignment="1">
      <alignment horizontal="center" vertical="center" wrapText="1"/>
    </xf>
    <xf numFmtId="169" fontId="7" fillId="3" borderId="7" xfId="0" applyNumberFormat="1" applyFont="1" applyFill="1" applyBorder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left" vertical="center" wrapText="1" indent="1"/>
    </xf>
    <xf numFmtId="0" fontId="0" fillId="0" borderId="0" xfId="0" applyAlignment="1">
      <alignment horizont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 indent="1"/>
    </xf>
    <xf numFmtId="0" fontId="8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7" fillId="3" borderId="7" xfId="0" applyFont="1" applyFill="1" applyBorder="1" applyAlignment="1">
      <alignment horizontal="left" vertical="center" wrapText="1" indent="1"/>
    </xf>
    <xf numFmtId="49" fontId="0" fillId="0" borderId="0" xfId="0" applyNumberFormat="1" applyAlignment="1">
      <alignment horizontal="left" vertical="center" indent="2" readingOrder="1"/>
    </xf>
    <xf numFmtId="0" fontId="6" fillId="3" borderId="9" xfId="0" applyFont="1" applyFill="1" applyBorder="1" applyAlignment="1">
      <alignment horizontal="center" vertical="center" wrapText="1"/>
    </xf>
    <xf numFmtId="49" fontId="9" fillId="3" borderId="10" xfId="0" applyNumberFormat="1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7" fillId="3" borderId="2" xfId="0" applyFont="1" applyFill="1" applyBorder="1" applyAlignment="1">
      <alignment horizontal="right" vertical="center" wrapText="1" inden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right" vertical="center" wrapText="1" indent="1"/>
    </xf>
  </cellXfs>
  <cellStyles count="2">
    <cellStyle name="Check Cell" xfId="1" builtinId="23"/>
    <cellStyle name="Normal" xfId="0" builtinId="0"/>
  </cellStyles>
  <dxfs count="26"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 val="0"/>
        <i/>
      </font>
      <fill>
        <patternFill>
          <bgColor rgb="FF92D050"/>
        </patternFill>
      </fill>
    </dxf>
    <dxf>
      <fill>
        <patternFill>
          <bgColor rgb="FFC00000"/>
        </patternFill>
      </fill>
    </dxf>
    <dxf>
      <font>
        <b val="0"/>
        <i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95F9-AFD8-4C13-A617-5D35FE4B337E}">
  <dimension ref="A1:P21"/>
  <sheetViews>
    <sheetView workbookViewId="0">
      <selection activeCell="R5" sqref="R5"/>
    </sheetView>
  </sheetViews>
  <sheetFormatPr defaultRowHeight="14.4" x14ac:dyDescent="0.3"/>
  <cols>
    <col min="1" max="1" width="10.109375" bestFit="1" customWidth="1"/>
    <col min="2" max="2" width="16.33203125" bestFit="1" customWidth="1"/>
    <col min="3" max="3" width="8.77734375" bestFit="1" customWidth="1"/>
    <col min="4" max="4" width="7.33203125" bestFit="1" customWidth="1"/>
    <col min="5" max="5" width="12.88671875" bestFit="1" customWidth="1"/>
    <col min="12" max="12" width="7.88671875" bestFit="1" customWidth="1"/>
    <col min="13" max="13" width="9" bestFit="1" customWidth="1"/>
    <col min="14" max="14" width="7.44140625" bestFit="1" customWidth="1"/>
    <col min="15" max="15" width="10.44140625" style="12" bestFit="1" customWidth="1"/>
    <col min="16" max="16" width="10.5546875" style="20" bestFit="1" customWidth="1"/>
  </cols>
  <sheetData>
    <row r="1" spans="1:16" ht="30.6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L1" s="13" t="s">
        <v>0</v>
      </c>
      <c r="M1" s="13" t="s">
        <v>1</v>
      </c>
      <c r="N1" s="13" t="s">
        <v>2</v>
      </c>
      <c r="O1" s="14" t="s">
        <v>3</v>
      </c>
      <c r="P1" s="19" t="s">
        <v>4</v>
      </c>
    </row>
    <row r="2" spans="1:16" ht="30" customHeight="1" thickBot="1" x14ac:dyDescent="0.35">
      <c r="A2" s="1" t="s">
        <v>5</v>
      </c>
      <c r="B2" s="1" t="s">
        <v>6</v>
      </c>
      <c r="C2" s="1" t="s">
        <v>7</v>
      </c>
      <c r="D2" s="1">
        <v>32000</v>
      </c>
      <c r="E2" s="2">
        <v>44573</v>
      </c>
      <c r="G2" s="9"/>
      <c r="L2" s="15" t="s">
        <v>5</v>
      </c>
      <c r="M2" s="15" t="s">
        <v>6</v>
      </c>
      <c r="N2" s="15" t="s">
        <v>7</v>
      </c>
      <c r="O2" s="16">
        <v>32000</v>
      </c>
      <c r="P2" s="17">
        <v>44573</v>
      </c>
    </row>
    <row r="3" spans="1:16" ht="30" customHeight="1" thickBot="1" x14ac:dyDescent="0.35">
      <c r="A3" s="1" t="s">
        <v>8</v>
      </c>
      <c r="B3" s="1" t="s">
        <v>9</v>
      </c>
      <c r="C3" s="1" t="s">
        <v>10</v>
      </c>
      <c r="D3" s="1">
        <v>45000</v>
      </c>
      <c r="E3" s="2">
        <v>44260</v>
      </c>
      <c r="H3" s="10"/>
      <c r="L3" s="15" t="s">
        <v>8</v>
      </c>
      <c r="M3" s="15" t="s">
        <v>9</v>
      </c>
      <c r="N3" s="15" t="s">
        <v>10</v>
      </c>
      <c r="O3" s="16">
        <v>45000</v>
      </c>
      <c r="P3" s="17">
        <v>44260</v>
      </c>
    </row>
    <row r="4" spans="1:16" ht="30" customHeight="1" thickBot="1" x14ac:dyDescent="0.35">
      <c r="A4" s="1" t="s">
        <v>11</v>
      </c>
      <c r="B4" s="1" t="s">
        <v>12</v>
      </c>
      <c r="C4" s="1" t="s">
        <v>13</v>
      </c>
      <c r="D4" s="1">
        <v>38000</v>
      </c>
      <c r="E4" s="2">
        <v>44030</v>
      </c>
      <c r="L4" s="15" t="s">
        <v>11</v>
      </c>
      <c r="M4" s="15" t="s">
        <v>12</v>
      </c>
      <c r="N4" s="15" t="s">
        <v>13</v>
      </c>
      <c r="O4" s="16">
        <v>38000</v>
      </c>
      <c r="P4" s="17">
        <v>44030</v>
      </c>
    </row>
    <row r="5" spans="1:16" ht="30" customHeight="1" thickBot="1" x14ac:dyDescent="0.35">
      <c r="A5" s="1" t="s">
        <v>14</v>
      </c>
      <c r="B5" s="1" t="s">
        <v>15</v>
      </c>
      <c r="C5" s="1" t="s">
        <v>10</v>
      </c>
      <c r="D5" s="1">
        <v>52000</v>
      </c>
      <c r="E5" s="2">
        <v>43779</v>
      </c>
      <c r="L5" s="15" t="s">
        <v>14</v>
      </c>
      <c r="M5" s="15" t="s">
        <v>15</v>
      </c>
      <c r="N5" s="15" t="s">
        <v>10</v>
      </c>
      <c r="O5" s="16">
        <v>52000</v>
      </c>
      <c r="P5" s="17">
        <v>43779</v>
      </c>
    </row>
    <row r="6" spans="1:16" ht="30" customHeight="1" thickBot="1" x14ac:dyDescent="0.35">
      <c r="A6" s="1" t="s">
        <v>16</v>
      </c>
      <c r="B6" s="1" t="s">
        <v>17</v>
      </c>
      <c r="C6" s="1" t="s">
        <v>18</v>
      </c>
      <c r="D6" s="1">
        <v>30000</v>
      </c>
      <c r="E6" s="2">
        <v>45102</v>
      </c>
      <c r="L6" s="15" t="s">
        <v>16</v>
      </c>
      <c r="M6" s="15" t="s">
        <v>17</v>
      </c>
      <c r="N6" s="15" t="s">
        <v>18</v>
      </c>
      <c r="O6" s="16">
        <v>30000</v>
      </c>
      <c r="P6" s="17">
        <v>45102</v>
      </c>
    </row>
    <row r="7" spans="1:16" ht="30" customHeight="1" thickBot="1" x14ac:dyDescent="0.35">
      <c r="A7" s="3" t="s">
        <v>19</v>
      </c>
      <c r="B7" s="3" t="s">
        <v>34</v>
      </c>
      <c r="C7" s="1" t="s">
        <v>7</v>
      </c>
      <c r="D7" s="4">
        <v>47473</v>
      </c>
      <c r="E7" s="2">
        <v>45103</v>
      </c>
      <c r="L7" s="15" t="s">
        <v>19</v>
      </c>
      <c r="M7" s="15" t="s">
        <v>34</v>
      </c>
      <c r="N7" s="15" t="s">
        <v>7</v>
      </c>
      <c r="O7" s="18">
        <v>47473</v>
      </c>
      <c r="P7" s="17">
        <v>45103</v>
      </c>
    </row>
    <row r="8" spans="1:16" ht="30" customHeight="1" thickBot="1" x14ac:dyDescent="0.35">
      <c r="A8" s="3" t="s">
        <v>20</v>
      </c>
      <c r="B8" s="3" t="s">
        <v>35</v>
      </c>
      <c r="C8" s="1" t="s">
        <v>10</v>
      </c>
      <c r="D8" s="4">
        <v>76450</v>
      </c>
      <c r="E8" s="2">
        <v>45104</v>
      </c>
      <c r="L8" s="15" t="s">
        <v>20</v>
      </c>
      <c r="M8" s="15" t="s">
        <v>35</v>
      </c>
      <c r="N8" s="15" t="s">
        <v>10</v>
      </c>
      <c r="O8" s="18">
        <v>76450</v>
      </c>
      <c r="P8" s="17">
        <v>45104</v>
      </c>
    </row>
    <row r="9" spans="1:16" ht="30" customHeight="1" thickBot="1" x14ac:dyDescent="0.35">
      <c r="A9" s="3" t="s">
        <v>21</v>
      </c>
      <c r="B9" s="3" t="s">
        <v>36</v>
      </c>
      <c r="C9" s="1" t="s">
        <v>13</v>
      </c>
      <c r="D9" s="4">
        <v>51241</v>
      </c>
      <c r="E9" s="2">
        <v>45105</v>
      </c>
      <c r="L9" s="15" t="s">
        <v>21</v>
      </c>
      <c r="M9" s="15" t="s">
        <v>36</v>
      </c>
      <c r="N9" s="15" t="s">
        <v>13</v>
      </c>
      <c r="O9" s="18">
        <v>51241</v>
      </c>
      <c r="P9" s="17">
        <v>45105</v>
      </c>
    </row>
    <row r="10" spans="1:16" ht="30" customHeight="1" thickBot="1" x14ac:dyDescent="0.35">
      <c r="A10" s="3" t="s">
        <v>22</v>
      </c>
      <c r="B10" s="3" t="s">
        <v>37</v>
      </c>
      <c r="C10" s="1" t="s">
        <v>10</v>
      </c>
      <c r="D10" s="4">
        <v>35753</v>
      </c>
      <c r="E10" s="2">
        <v>45106</v>
      </c>
      <c r="L10" s="15" t="s">
        <v>22</v>
      </c>
      <c r="M10" s="15" t="s">
        <v>37</v>
      </c>
      <c r="N10" s="15" t="s">
        <v>10</v>
      </c>
      <c r="O10" s="18">
        <v>35753</v>
      </c>
      <c r="P10" s="17">
        <v>45106</v>
      </c>
    </row>
    <row r="11" spans="1:16" ht="30" customHeight="1" thickBot="1" x14ac:dyDescent="0.35">
      <c r="A11" s="3" t="s">
        <v>23</v>
      </c>
      <c r="B11" s="3" t="s">
        <v>38</v>
      </c>
      <c r="C11" s="1" t="s">
        <v>18</v>
      </c>
      <c r="D11" s="4">
        <v>35746</v>
      </c>
      <c r="E11" s="2">
        <v>45107</v>
      </c>
      <c r="L11" s="15" t="s">
        <v>23</v>
      </c>
      <c r="M11" s="15" t="s">
        <v>38</v>
      </c>
      <c r="N11" s="15" t="s">
        <v>18</v>
      </c>
      <c r="O11" s="18">
        <v>35746</v>
      </c>
      <c r="P11" s="17">
        <v>45107</v>
      </c>
    </row>
    <row r="12" spans="1:16" ht="30" customHeight="1" thickBot="1" x14ac:dyDescent="0.35">
      <c r="A12" s="3" t="s">
        <v>24</v>
      </c>
      <c r="B12" s="3" t="s">
        <v>39</v>
      </c>
      <c r="C12" s="1" t="s">
        <v>7</v>
      </c>
      <c r="D12" s="4">
        <v>75824</v>
      </c>
      <c r="E12" s="2">
        <v>45108</v>
      </c>
      <c r="L12" s="15" t="s">
        <v>24</v>
      </c>
      <c r="M12" s="15" t="s">
        <v>39</v>
      </c>
      <c r="N12" s="15" t="s">
        <v>7</v>
      </c>
      <c r="O12" s="18">
        <v>75824</v>
      </c>
      <c r="P12" s="17">
        <v>45108</v>
      </c>
    </row>
    <row r="13" spans="1:16" ht="30" customHeight="1" thickBot="1" x14ac:dyDescent="0.35">
      <c r="A13" s="3" t="s">
        <v>25</v>
      </c>
      <c r="B13" s="3" t="s">
        <v>40</v>
      </c>
      <c r="C13" s="1" t="s">
        <v>10</v>
      </c>
      <c r="D13" s="4">
        <v>44413</v>
      </c>
      <c r="E13" s="2">
        <v>45109</v>
      </c>
      <c r="L13" s="15" t="s">
        <v>25</v>
      </c>
      <c r="M13" s="15" t="s">
        <v>40</v>
      </c>
      <c r="N13" s="15" t="s">
        <v>10</v>
      </c>
      <c r="O13" s="18">
        <v>44413</v>
      </c>
      <c r="P13" s="17">
        <v>45109</v>
      </c>
    </row>
    <row r="14" spans="1:16" ht="30" customHeight="1" thickBot="1" x14ac:dyDescent="0.35">
      <c r="A14" s="3" t="s">
        <v>26</v>
      </c>
      <c r="B14" s="3" t="s">
        <v>41</v>
      </c>
      <c r="C14" s="1" t="s">
        <v>13</v>
      </c>
      <c r="D14" s="4">
        <v>51065</v>
      </c>
      <c r="E14" s="2">
        <v>45110</v>
      </c>
      <c r="L14" s="15" t="s">
        <v>26</v>
      </c>
      <c r="M14" s="15" t="s">
        <v>41</v>
      </c>
      <c r="N14" s="15" t="s">
        <v>13</v>
      </c>
      <c r="O14" s="18">
        <v>51065</v>
      </c>
      <c r="P14" s="17">
        <v>45110</v>
      </c>
    </row>
    <row r="15" spans="1:16" ht="30" customHeight="1" thickBot="1" x14ac:dyDescent="0.35">
      <c r="A15" s="3" t="s">
        <v>27</v>
      </c>
      <c r="B15" s="3" t="s">
        <v>42</v>
      </c>
      <c r="C15" s="1" t="s">
        <v>10</v>
      </c>
      <c r="D15" s="4">
        <v>70095</v>
      </c>
      <c r="E15" s="2">
        <v>45111</v>
      </c>
      <c r="L15" s="15" t="s">
        <v>27</v>
      </c>
      <c r="M15" s="15" t="s">
        <v>42</v>
      </c>
      <c r="N15" s="15" t="s">
        <v>10</v>
      </c>
      <c r="O15" s="18">
        <v>70095</v>
      </c>
      <c r="P15" s="17">
        <v>45111</v>
      </c>
    </row>
    <row r="16" spans="1:16" ht="30" customHeight="1" thickBot="1" x14ac:dyDescent="0.35">
      <c r="A16" s="3" t="s">
        <v>28</v>
      </c>
      <c r="B16" s="3" t="s">
        <v>34</v>
      </c>
      <c r="C16" s="1" t="s">
        <v>18</v>
      </c>
      <c r="D16" s="4">
        <v>73008</v>
      </c>
      <c r="E16" s="2">
        <v>45112</v>
      </c>
      <c r="L16" s="15" t="s">
        <v>28</v>
      </c>
      <c r="M16" s="15" t="s">
        <v>34</v>
      </c>
      <c r="N16" s="15" t="s">
        <v>18</v>
      </c>
      <c r="O16" s="18">
        <v>73008</v>
      </c>
      <c r="P16" s="17">
        <v>45112</v>
      </c>
    </row>
    <row r="17" spans="1:16" ht="30" customHeight="1" thickBot="1" x14ac:dyDescent="0.35">
      <c r="A17" s="3" t="s">
        <v>29</v>
      </c>
      <c r="B17" s="3" t="s">
        <v>35</v>
      </c>
      <c r="C17" s="1" t="s">
        <v>7</v>
      </c>
      <c r="D17" s="4">
        <v>60438</v>
      </c>
      <c r="E17" s="2">
        <v>45113</v>
      </c>
      <c r="L17" s="15" t="s">
        <v>29</v>
      </c>
      <c r="M17" s="15" t="s">
        <v>35</v>
      </c>
      <c r="N17" s="15" t="s">
        <v>7</v>
      </c>
      <c r="O17" s="18">
        <v>60438</v>
      </c>
      <c r="P17" s="17">
        <v>45113</v>
      </c>
    </row>
    <row r="18" spans="1:16" ht="30" customHeight="1" thickBot="1" x14ac:dyDescent="0.35">
      <c r="A18" s="3" t="s">
        <v>30</v>
      </c>
      <c r="B18" s="3" t="s">
        <v>36</v>
      </c>
      <c r="C18" s="1" t="s">
        <v>10</v>
      </c>
      <c r="D18" s="4">
        <v>75420</v>
      </c>
      <c r="E18" s="2">
        <v>45114</v>
      </c>
      <c r="L18" s="15" t="s">
        <v>30</v>
      </c>
      <c r="M18" s="15" t="s">
        <v>36</v>
      </c>
      <c r="N18" s="15" t="s">
        <v>10</v>
      </c>
      <c r="O18" s="18">
        <v>75420</v>
      </c>
      <c r="P18" s="17">
        <v>45114</v>
      </c>
    </row>
    <row r="19" spans="1:16" ht="30" customHeight="1" thickBot="1" x14ac:dyDescent="0.35">
      <c r="A19" s="3" t="s">
        <v>31</v>
      </c>
      <c r="B19" s="3" t="s">
        <v>37</v>
      </c>
      <c r="C19" s="1" t="s">
        <v>13</v>
      </c>
      <c r="D19" s="4">
        <v>43799</v>
      </c>
      <c r="E19" s="2">
        <v>45115</v>
      </c>
      <c r="L19" s="15" t="s">
        <v>31</v>
      </c>
      <c r="M19" s="15" t="s">
        <v>37</v>
      </c>
      <c r="N19" s="15" t="s">
        <v>13</v>
      </c>
      <c r="O19" s="18">
        <v>43799</v>
      </c>
      <c r="P19" s="17">
        <v>45115</v>
      </c>
    </row>
    <row r="20" spans="1:16" ht="30" customHeight="1" thickBot="1" x14ac:dyDescent="0.35">
      <c r="A20" s="3" t="s">
        <v>32</v>
      </c>
      <c r="B20" s="3" t="s">
        <v>38</v>
      </c>
      <c r="C20" s="1" t="s">
        <v>10</v>
      </c>
      <c r="D20" s="4">
        <v>62360</v>
      </c>
      <c r="E20" s="2">
        <v>45116</v>
      </c>
      <c r="L20" s="15" t="s">
        <v>32</v>
      </c>
      <c r="M20" s="15" t="s">
        <v>38</v>
      </c>
      <c r="N20" s="15" t="s">
        <v>10</v>
      </c>
      <c r="O20" s="18">
        <v>62360</v>
      </c>
      <c r="P20" s="17">
        <v>45116</v>
      </c>
    </row>
    <row r="21" spans="1:16" ht="30" customHeight="1" x14ac:dyDescent="0.3">
      <c r="A21" s="5" t="s">
        <v>33</v>
      </c>
      <c r="B21" s="5" t="s">
        <v>43</v>
      </c>
      <c r="C21" s="6" t="s">
        <v>18</v>
      </c>
      <c r="D21" s="7">
        <v>66801</v>
      </c>
      <c r="E21" s="8">
        <v>45117</v>
      </c>
      <c r="L21" s="15" t="s">
        <v>33</v>
      </c>
      <c r="M21" s="15" t="s">
        <v>43</v>
      </c>
      <c r="N21" s="15" t="s">
        <v>18</v>
      </c>
      <c r="O21" s="18">
        <v>66801</v>
      </c>
      <c r="P21" s="17">
        <v>45117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5F7A-96C6-499D-B2A5-3B302E74F7B9}">
  <dimension ref="A1:N10"/>
  <sheetViews>
    <sheetView zoomScale="115" zoomScaleNormal="115" workbookViewId="0">
      <selection activeCell="F6" sqref="F6"/>
    </sheetView>
  </sheetViews>
  <sheetFormatPr defaultRowHeight="14.4" x14ac:dyDescent="0.3"/>
  <cols>
    <col min="11" max="11" width="15" style="25" customWidth="1"/>
    <col min="12" max="12" width="7.5546875" style="25" bestFit="1" customWidth="1"/>
    <col min="13" max="13" width="10.44140625" style="26" bestFit="1" customWidth="1"/>
    <col min="14" max="14" width="8.88671875" style="25"/>
  </cols>
  <sheetData>
    <row r="1" spans="1:14" ht="30.6" thickBot="1" x14ac:dyDescent="0.35">
      <c r="A1" s="11" t="s">
        <v>44</v>
      </c>
      <c r="B1" s="11" t="s">
        <v>45</v>
      </c>
      <c r="C1" s="11" t="s">
        <v>46</v>
      </c>
      <c r="D1" s="11" t="s">
        <v>47</v>
      </c>
      <c r="K1" s="28" t="s">
        <v>44</v>
      </c>
      <c r="L1" s="28" t="s">
        <v>45</v>
      </c>
      <c r="M1" s="30" t="s">
        <v>46</v>
      </c>
      <c r="N1" s="28" t="s">
        <v>47</v>
      </c>
    </row>
    <row r="2" spans="1:14" ht="60.6" thickBot="1" x14ac:dyDescent="0.35">
      <c r="A2" s="22" t="s">
        <v>48</v>
      </c>
      <c r="B2" s="22" t="s">
        <v>49</v>
      </c>
      <c r="C2" s="22">
        <v>45000</v>
      </c>
      <c r="D2" s="22" t="s">
        <v>50</v>
      </c>
      <c r="F2" s="21"/>
      <c r="K2" s="29" t="s">
        <v>48</v>
      </c>
      <c r="L2" s="29" t="s">
        <v>49</v>
      </c>
      <c r="M2" s="31">
        <v>45000</v>
      </c>
      <c r="N2" s="29" t="s">
        <v>50</v>
      </c>
    </row>
    <row r="3" spans="1:14" ht="60.6" thickBot="1" x14ac:dyDescent="0.35">
      <c r="A3" s="22" t="s">
        <v>51</v>
      </c>
      <c r="B3" s="22" t="s">
        <v>52</v>
      </c>
      <c r="C3" s="22">
        <v>1200</v>
      </c>
      <c r="D3" s="22" t="s">
        <v>53</v>
      </c>
      <c r="K3" s="29" t="s">
        <v>51</v>
      </c>
      <c r="L3" s="29" t="s">
        <v>52</v>
      </c>
      <c r="M3" s="31">
        <v>1200</v>
      </c>
      <c r="N3" s="29" t="s">
        <v>53</v>
      </c>
    </row>
    <row r="4" spans="1:14" ht="75.599999999999994" thickBot="1" x14ac:dyDescent="0.35">
      <c r="A4" s="22" t="s">
        <v>54</v>
      </c>
      <c r="B4" s="22" t="s">
        <v>55</v>
      </c>
      <c r="C4" s="22">
        <v>18000</v>
      </c>
      <c r="D4" s="22" t="s">
        <v>56</v>
      </c>
      <c r="K4" s="29" t="s">
        <v>54</v>
      </c>
      <c r="L4" s="29" t="s">
        <v>55</v>
      </c>
      <c r="M4" s="31">
        <v>18000</v>
      </c>
      <c r="N4" s="29" t="s">
        <v>56</v>
      </c>
    </row>
    <row r="5" spans="1:14" ht="60.6" thickBot="1" x14ac:dyDescent="0.35">
      <c r="A5" s="22" t="s">
        <v>57</v>
      </c>
      <c r="B5" s="22" t="s">
        <v>58</v>
      </c>
      <c r="C5" s="22">
        <v>62000</v>
      </c>
      <c r="D5" s="22" t="s">
        <v>59</v>
      </c>
      <c r="K5" s="29" t="s">
        <v>57</v>
      </c>
      <c r="L5" s="29" t="s">
        <v>58</v>
      </c>
      <c r="M5" s="31">
        <v>62000</v>
      </c>
      <c r="N5" s="29" t="s">
        <v>59</v>
      </c>
    </row>
    <row r="6" spans="1:14" ht="60.6" thickBot="1" x14ac:dyDescent="0.35">
      <c r="A6" s="22" t="s">
        <v>48</v>
      </c>
      <c r="B6" s="22" t="s">
        <v>49</v>
      </c>
      <c r="C6" s="23">
        <v>28000</v>
      </c>
      <c r="D6" s="23" t="s">
        <v>61</v>
      </c>
      <c r="K6" s="29" t="s">
        <v>48</v>
      </c>
      <c r="L6" s="29" t="s">
        <v>49</v>
      </c>
      <c r="M6" s="31">
        <v>28000</v>
      </c>
      <c r="N6" s="29" t="s">
        <v>61</v>
      </c>
    </row>
    <row r="7" spans="1:14" ht="60.6" thickBot="1" x14ac:dyDescent="0.35">
      <c r="A7" s="22" t="s">
        <v>51</v>
      </c>
      <c r="B7" s="22" t="s">
        <v>52</v>
      </c>
      <c r="C7" s="23">
        <v>45000</v>
      </c>
      <c r="D7" s="23" t="s">
        <v>62</v>
      </c>
      <c r="K7" s="29" t="s">
        <v>51</v>
      </c>
      <c r="L7" s="29" t="s">
        <v>52</v>
      </c>
      <c r="M7" s="31">
        <v>45000</v>
      </c>
      <c r="N7" s="29" t="s">
        <v>62</v>
      </c>
    </row>
    <row r="8" spans="1:14" ht="75.599999999999994" thickBot="1" x14ac:dyDescent="0.35">
      <c r="A8" s="22" t="s">
        <v>54</v>
      </c>
      <c r="B8" s="22" t="s">
        <v>55</v>
      </c>
      <c r="C8" s="23">
        <v>35000</v>
      </c>
      <c r="D8" s="23" t="s">
        <v>63</v>
      </c>
      <c r="K8" s="29" t="s">
        <v>54</v>
      </c>
      <c r="L8" s="29" t="s">
        <v>55</v>
      </c>
      <c r="M8" s="31">
        <v>35000</v>
      </c>
      <c r="N8" s="29" t="s">
        <v>63</v>
      </c>
    </row>
    <row r="9" spans="1:14" ht="60.6" thickBot="1" x14ac:dyDescent="0.35">
      <c r="A9" s="22" t="s">
        <v>57</v>
      </c>
      <c r="B9" s="22" t="s">
        <v>58</v>
      </c>
      <c r="C9" s="23">
        <v>45000</v>
      </c>
      <c r="D9" s="23" t="s">
        <v>64</v>
      </c>
      <c r="K9" s="29" t="s">
        <v>57</v>
      </c>
      <c r="L9" s="29" t="s">
        <v>58</v>
      </c>
      <c r="M9" s="31">
        <v>45000</v>
      </c>
      <c r="N9" s="29" t="s">
        <v>64</v>
      </c>
    </row>
    <row r="10" spans="1:14" ht="60.6" thickBot="1" x14ac:dyDescent="0.35">
      <c r="A10" s="22" t="s">
        <v>51</v>
      </c>
      <c r="B10" s="23" t="s">
        <v>60</v>
      </c>
      <c r="C10" s="23">
        <v>52000</v>
      </c>
      <c r="D10" s="23" t="s">
        <v>65</v>
      </c>
      <c r="K10" s="29" t="s">
        <v>51</v>
      </c>
      <c r="L10" s="29" t="s">
        <v>60</v>
      </c>
      <c r="M10" s="31">
        <v>52000</v>
      </c>
      <c r="N10" s="2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4DA5-E22A-4118-B354-D75A2BBCF9AA}">
  <dimension ref="A1:Q6"/>
  <sheetViews>
    <sheetView workbookViewId="0">
      <selection activeCell="I16" sqref="I16"/>
    </sheetView>
  </sheetViews>
  <sheetFormatPr defaultRowHeight="14.4" x14ac:dyDescent="0.3"/>
  <cols>
    <col min="12" max="12" width="8" bestFit="1" customWidth="1"/>
    <col min="13" max="13" width="8.44140625" bestFit="1" customWidth="1"/>
    <col min="14" max="14" width="6.77734375" bestFit="1" customWidth="1"/>
    <col min="15" max="15" width="8.109375" bestFit="1" customWidth="1"/>
    <col min="16" max="16" width="7.77734375" bestFit="1" customWidth="1"/>
    <col min="17" max="17" width="12.77734375" bestFit="1" customWidth="1"/>
  </cols>
  <sheetData>
    <row r="1" spans="1:17" ht="31.2" thickTop="1" thickBot="1" x14ac:dyDescent="0.35">
      <c r="A1" s="11" t="s">
        <v>66</v>
      </c>
      <c r="B1" s="11" t="s">
        <v>67</v>
      </c>
      <c r="C1" s="11" t="s">
        <v>68</v>
      </c>
      <c r="D1" s="11" t="s">
        <v>69</v>
      </c>
      <c r="E1" s="11" t="s">
        <v>70</v>
      </c>
      <c r="F1" s="11" t="s">
        <v>71</v>
      </c>
      <c r="L1" s="32" t="s">
        <v>66</v>
      </c>
      <c r="M1" s="32" t="s">
        <v>67</v>
      </c>
      <c r="N1" s="32" t="s">
        <v>68</v>
      </c>
      <c r="O1" s="32" t="s">
        <v>69</v>
      </c>
      <c r="P1" s="32" t="s">
        <v>70</v>
      </c>
      <c r="Q1" s="32" t="s">
        <v>71</v>
      </c>
    </row>
    <row r="2" spans="1:17" ht="15.6" thickBot="1" x14ac:dyDescent="0.35">
      <c r="A2" s="22">
        <v>1</v>
      </c>
      <c r="B2" s="22" t="s">
        <v>72</v>
      </c>
      <c r="C2" s="22">
        <v>78</v>
      </c>
      <c r="D2" s="22">
        <v>82</v>
      </c>
      <c r="E2" s="22">
        <v>74</v>
      </c>
      <c r="F2" s="22"/>
      <c r="L2" s="22">
        <v>1</v>
      </c>
      <c r="M2" s="22" t="s">
        <v>72</v>
      </c>
      <c r="N2" s="22">
        <v>78</v>
      </c>
      <c r="O2" s="22">
        <v>82</v>
      </c>
      <c r="P2" s="22">
        <v>74</v>
      </c>
      <c r="Q2" s="22">
        <v>78</v>
      </c>
    </row>
    <row r="3" spans="1:17" ht="15.6" thickBot="1" x14ac:dyDescent="0.35">
      <c r="A3" s="22">
        <v>2</v>
      </c>
      <c r="B3" s="22" t="s">
        <v>73</v>
      </c>
      <c r="C3" s="22">
        <v>65</v>
      </c>
      <c r="D3" s="22">
        <v>70</v>
      </c>
      <c r="E3" s="22">
        <v>68</v>
      </c>
      <c r="F3" s="22"/>
      <c r="L3" s="22">
        <v>2</v>
      </c>
      <c r="M3" s="22" t="s">
        <v>73</v>
      </c>
      <c r="N3" s="22">
        <v>65</v>
      </c>
      <c r="O3" s="22">
        <v>70</v>
      </c>
      <c r="P3" s="22">
        <v>68</v>
      </c>
      <c r="Q3" s="22">
        <v>67.666666666666671</v>
      </c>
    </row>
    <row r="4" spans="1:17" ht="15.6" thickBot="1" x14ac:dyDescent="0.35">
      <c r="A4" s="22">
        <v>3</v>
      </c>
      <c r="B4" s="22" t="s">
        <v>74</v>
      </c>
      <c r="C4" s="22">
        <v>90</v>
      </c>
      <c r="D4" s="22">
        <v>88</v>
      </c>
      <c r="E4" s="22">
        <v>92</v>
      </c>
      <c r="F4" s="22"/>
      <c r="L4" s="22">
        <v>3</v>
      </c>
      <c r="M4" s="22" t="s">
        <v>74</v>
      </c>
      <c r="N4" s="22">
        <v>90</v>
      </c>
      <c r="O4" s="22">
        <v>88</v>
      </c>
      <c r="P4" s="22">
        <v>92</v>
      </c>
      <c r="Q4" s="22">
        <v>90</v>
      </c>
    </row>
    <row r="5" spans="1:17" ht="15.6" thickBot="1" x14ac:dyDescent="0.35">
      <c r="A5" s="22">
        <v>4</v>
      </c>
      <c r="B5" s="22" t="s">
        <v>75</v>
      </c>
      <c r="C5" s="22">
        <v>35</v>
      </c>
      <c r="D5" s="22">
        <v>40</v>
      </c>
      <c r="E5" s="22">
        <v>38</v>
      </c>
      <c r="F5" s="22"/>
      <c r="L5" s="22">
        <v>4</v>
      </c>
      <c r="M5" s="22" t="s">
        <v>75</v>
      </c>
      <c r="N5" s="22">
        <v>35</v>
      </c>
      <c r="O5" s="22">
        <v>40</v>
      </c>
      <c r="P5" s="22">
        <v>38</v>
      </c>
      <c r="Q5" s="22">
        <v>37.666666666666664</v>
      </c>
    </row>
    <row r="6" spans="1:17" ht="15.6" thickBot="1" x14ac:dyDescent="0.35">
      <c r="A6" s="22">
        <v>5</v>
      </c>
      <c r="B6" s="22" t="s">
        <v>76</v>
      </c>
      <c r="C6" s="22">
        <v>55</v>
      </c>
      <c r="D6" s="22">
        <v>60</v>
      </c>
      <c r="E6" s="22">
        <v>58</v>
      </c>
      <c r="F6" s="22"/>
      <c r="L6" s="22">
        <v>5</v>
      </c>
      <c r="M6" s="22" t="s">
        <v>76</v>
      </c>
      <c r="N6" s="22">
        <v>55</v>
      </c>
      <c r="O6" s="22">
        <v>60</v>
      </c>
      <c r="P6" s="22">
        <v>58</v>
      </c>
      <c r="Q6" s="22">
        <v>57.666666666666664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B167-4A6F-440E-B59D-C88DEAF21251}">
  <dimension ref="A1:Q11"/>
  <sheetViews>
    <sheetView topLeftCell="A3" workbookViewId="0">
      <selection activeCell="P16" sqref="P16"/>
    </sheetView>
  </sheetViews>
  <sheetFormatPr defaultRowHeight="14.4" x14ac:dyDescent="0.3"/>
  <cols>
    <col min="2" max="2" width="12" customWidth="1"/>
    <col min="3" max="3" width="11.21875" customWidth="1"/>
    <col min="11" max="11" width="8.5546875" bestFit="1" customWidth="1"/>
    <col min="12" max="12" width="11.88671875" bestFit="1" customWidth="1"/>
    <col min="13" max="13" width="8.5546875" bestFit="1" customWidth="1"/>
  </cols>
  <sheetData>
    <row r="1" spans="1:17" ht="30.6" thickBot="1" x14ac:dyDescent="0.35">
      <c r="A1" s="11" t="s">
        <v>77</v>
      </c>
      <c r="B1" s="11" t="s">
        <v>78</v>
      </c>
      <c r="C1" s="11" t="s">
        <v>46</v>
      </c>
      <c r="K1" s="11" t="s">
        <v>77</v>
      </c>
      <c r="L1" s="11" t="s">
        <v>78</v>
      </c>
      <c r="M1" s="35" t="s">
        <v>46</v>
      </c>
      <c r="N1" s="37" t="s">
        <v>84</v>
      </c>
      <c r="O1" s="28" t="s">
        <v>85</v>
      </c>
      <c r="P1" s="28" t="s">
        <v>86</v>
      </c>
      <c r="Q1" s="28" t="s">
        <v>87</v>
      </c>
    </row>
    <row r="2" spans="1:17" ht="15.6" thickBot="1" x14ac:dyDescent="0.35">
      <c r="A2" s="22" t="s">
        <v>79</v>
      </c>
      <c r="B2" s="33">
        <v>45292</v>
      </c>
      <c r="C2" s="22">
        <v>12000</v>
      </c>
      <c r="K2" s="22" t="s">
        <v>79</v>
      </c>
      <c r="L2" s="33">
        <v>45292</v>
      </c>
      <c r="M2" s="36">
        <v>12000</v>
      </c>
      <c r="N2" s="38">
        <f>SUM(M2,M3,M4,M5,M6)</f>
        <v>92000</v>
      </c>
      <c r="O2" s="27">
        <f>AVERAGE(M2,M3,M4,M5,M6)</f>
        <v>18400</v>
      </c>
      <c r="P2" s="27">
        <f>MAX(M2,M3,M4,M5,M6)</f>
        <v>32000</v>
      </c>
      <c r="Q2" s="27">
        <f>MIN(M2,M3,M4,M5,M6)</f>
        <v>8000</v>
      </c>
    </row>
    <row r="3" spans="1:17" ht="15.6" thickBot="1" x14ac:dyDescent="0.35">
      <c r="A3" s="22" t="s">
        <v>80</v>
      </c>
      <c r="B3" s="33">
        <v>45294</v>
      </c>
      <c r="C3" s="22">
        <v>25000</v>
      </c>
      <c r="K3" s="22" t="s">
        <v>80</v>
      </c>
      <c r="L3" s="33">
        <v>45294</v>
      </c>
      <c r="M3" s="22">
        <v>25000</v>
      </c>
      <c r="N3" s="34"/>
    </row>
    <row r="4" spans="1:17" ht="15.6" thickBot="1" x14ac:dyDescent="0.35">
      <c r="A4" s="22" t="s">
        <v>81</v>
      </c>
      <c r="B4" s="33">
        <v>45296</v>
      </c>
      <c r="C4" s="22">
        <v>8000</v>
      </c>
      <c r="K4" s="22" t="s">
        <v>81</v>
      </c>
      <c r="L4" s="33">
        <v>45296</v>
      </c>
      <c r="M4" s="22">
        <v>8000</v>
      </c>
      <c r="N4" s="34"/>
    </row>
    <row r="5" spans="1:17" ht="15.6" thickBot="1" x14ac:dyDescent="0.35">
      <c r="A5" s="22" t="s">
        <v>82</v>
      </c>
      <c r="B5" s="33">
        <v>45299</v>
      </c>
      <c r="C5" s="22">
        <v>32000</v>
      </c>
      <c r="K5" s="22" t="s">
        <v>82</v>
      </c>
      <c r="L5" s="33">
        <v>45299</v>
      </c>
      <c r="M5" s="22">
        <v>32000</v>
      </c>
      <c r="N5" s="34"/>
    </row>
    <row r="6" spans="1:17" ht="15.6" thickBot="1" x14ac:dyDescent="0.35">
      <c r="A6" s="22" t="s">
        <v>83</v>
      </c>
      <c r="B6" s="33">
        <v>45301</v>
      </c>
      <c r="C6" s="22">
        <v>15000</v>
      </c>
      <c r="K6" s="22" t="s">
        <v>83</v>
      </c>
      <c r="L6" s="33">
        <v>45301</v>
      </c>
      <c r="M6" s="22">
        <v>15000</v>
      </c>
      <c r="N6" s="34"/>
      <c r="Q6" s="27"/>
    </row>
    <row r="7" spans="1:17" x14ac:dyDescent="0.3">
      <c r="K7" s="24"/>
      <c r="L7" s="24"/>
    </row>
    <row r="9" spans="1:17" x14ac:dyDescent="0.3">
      <c r="B9" s="21"/>
    </row>
    <row r="11" spans="1:17" x14ac:dyDescent="0.3">
      <c r="L11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E8AD-57BB-47E3-996F-7B725774FF70}">
  <dimension ref="A1:Q13"/>
  <sheetViews>
    <sheetView workbookViewId="0">
      <selection activeCell="M18" sqref="M18"/>
    </sheetView>
  </sheetViews>
  <sheetFormatPr defaultRowHeight="14.4" x14ac:dyDescent="0.3"/>
  <cols>
    <col min="9" max="9" width="8.88671875" customWidth="1"/>
    <col min="10" max="10" width="12.5546875" bestFit="1" customWidth="1"/>
    <col min="14" max="14" width="12.33203125" customWidth="1"/>
    <col min="17" max="17" width="11.5546875" customWidth="1"/>
  </cols>
  <sheetData>
    <row r="1" spans="1:17" ht="67.2" customHeight="1" x14ac:dyDescent="0.3">
      <c r="A1" s="28" t="s">
        <v>88</v>
      </c>
      <c r="B1" s="28" t="s">
        <v>2</v>
      </c>
      <c r="C1" s="28" t="s">
        <v>3</v>
      </c>
      <c r="J1" s="44" t="s">
        <v>99</v>
      </c>
      <c r="K1" s="28" t="s">
        <v>88</v>
      </c>
      <c r="L1" s="28" t="s">
        <v>2</v>
      </c>
      <c r="M1" s="41" t="s">
        <v>3</v>
      </c>
      <c r="N1" s="42" t="s">
        <v>95</v>
      </c>
      <c r="O1" s="42"/>
      <c r="P1" s="43" t="s">
        <v>97</v>
      </c>
      <c r="Q1" s="43" t="s">
        <v>98</v>
      </c>
    </row>
    <row r="2" spans="1:17" ht="15" x14ac:dyDescent="0.3">
      <c r="A2" s="39" t="s">
        <v>89</v>
      </c>
      <c r="B2" s="39" t="s">
        <v>7</v>
      </c>
      <c r="C2" s="39">
        <v>28000</v>
      </c>
      <c r="J2" s="24">
        <v>1</v>
      </c>
      <c r="K2" s="29" t="s">
        <v>89</v>
      </c>
      <c r="L2" s="29" t="s">
        <v>7</v>
      </c>
      <c r="M2" s="45">
        <v>28000</v>
      </c>
      <c r="N2" s="46" t="s">
        <v>7</v>
      </c>
      <c r="O2" s="46">
        <v>58000</v>
      </c>
      <c r="P2" s="46">
        <v>29000</v>
      </c>
      <c r="Q2" s="46">
        <v>6</v>
      </c>
    </row>
    <row r="3" spans="1:17" ht="15" x14ac:dyDescent="0.3">
      <c r="A3" s="39" t="s">
        <v>90</v>
      </c>
      <c r="B3" s="39" t="s">
        <v>10</v>
      </c>
      <c r="C3" s="39">
        <v>45000</v>
      </c>
      <c r="G3" s="27"/>
      <c r="J3" s="24">
        <v>2</v>
      </c>
      <c r="K3" s="29" t="s">
        <v>90</v>
      </c>
      <c r="L3" s="29" t="s">
        <v>10</v>
      </c>
      <c r="M3" s="45">
        <v>45000</v>
      </c>
      <c r="N3" s="46" t="s">
        <v>10</v>
      </c>
      <c r="O3" s="46">
        <v>95000</v>
      </c>
      <c r="P3" s="46">
        <v>47500</v>
      </c>
      <c r="Q3" s="46"/>
    </row>
    <row r="4" spans="1:17" ht="15" x14ac:dyDescent="0.3">
      <c r="A4" s="39" t="s">
        <v>91</v>
      </c>
      <c r="B4" s="39" t="s">
        <v>10</v>
      </c>
      <c r="C4" s="39">
        <v>50000</v>
      </c>
      <c r="J4" s="24">
        <v>3</v>
      </c>
      <c r="K4" s="29" t="s">
        <v>91</v>
      </c>
      <c r="L4" s="29" t="s">
        <v>10</v>
      </c>
      <c r="M4" s="45">
        <v>50000</v>
      </c>
      <c r="N4" s="46" t="s">
        <v>96</v>
      </c>
      <c r="O4" s="46">
        <v>80000</v>
      </c>
      <c r="P4" s="46">
        <v>40000</v>
      </c>
      <c r="Q4" s="46"/>
    </row>
    <row r="5" spans="1:17" ht="15" x14ac:dyDescent="0.3">
      <c r="A5" s="39" t="s">
        <v>92</v>
      </c>
      <c r="B5" s="39" t="s">
        <v>13</v>
      </c>
      <c r="C5" s="39">
        <v>42000</v>
      </c>
      <c r="J5" s="24">
        <v>4</v>
      </c>
      <c r="K5" s="29" t="s">
        <v>92</v>
      </c>
      <c r="L5" s="29" t="s">
        <v>13</v>
      </c>
      <c r="M5" s="29">
        <v>42000</v>
      </c>
      <c r="N5" s="24"/>
      <c r="O5" s="24"/>
      <c r="P5" s="24"/>
      <c r="Q5" s="24"/>
    </row>
    <row r="6" spans="1:17" ht="15" x14ac:dyDescent="0.3">
      <c r="A6" s="39" t="s">
        <v>93</v>
      </c>
      <c r="B6" s="39" t="s">
        <v>7</v>
      </c>
      <c r="C6" s="39">
        <v>30000</v>
      </c>
      <c r="J6" s="24">
        <v>5</v>
      </c>
      <c r="K6" s="29" t="s">
        <v>93</v>
      </c>
      <c r="L6" s="29" t="s">
        <v>7</v>
      </c>
      <c r="M6" s="29">
        <v>30000</v>
      </c>
      <c r="N6" s="24"/>
      <c r="O6" s="24"/>
      <c r="P6" s="24"/>
      <c r="Q6" s="24"/>
    </row>
    <row r="7" spans="1:17" ht="15" x14ac:dyDescent="0.3">
      <c r="A7" s="39" t="s">
        <v>94</v>
      </c>
      <c r="B7" s="39" t="s">
        <v>13</v>
      </c>
      <c r="C7" s="39">
        <v>38000</v>
      </c>
      <c r="J7" s="24">
        <v>6</v>
      </c>
      <c r="K7" s="29" t="s">
        <v>94</v>
      </c>
      <c r="L7" s="29" t="s">
        <v>13</v>
      </c>
      <c r="M7" s="29">
        <v>38000</v>
      </c>
      <c r="N7" s="24"/>
      <c r="O7" s="24"/>
      <c r="P7" s="24"/>
      <c r="Q7" s="24"/>
    </row>
    <row r="12" spans="1:17" x14ac:dyDescent="0.3">
      <c r="N12" s="40"/>
    </row>
    <row r="13" spans="1:17" x14ac:dyDescent="0.3">
      <c r="K13" s="27"/>
    </row>
  </sheetData>
  <mergeCells count="1">
    <mergeCell ref="N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D053-1C4E-4759-A3E0-6DC3415F7A01}">
  <dimension ref="A1:S5"/>
  <sheetViews>
    <sheetView workbookViewId="0">
      <selection activeCell="H15" sqref="H15"/>
    </sheetView>
  </sheetViews>
  <sheetFormatPr defaultRowHeight="14.4" x14ac:dyDescent="0.3"/>
  <sheetData>
    <row r="1" spans="1:19" ht="30.6" thickBot="1" x14ac:dyDescent="0.35">
      <c r="A1" s="11" t="s">
        <v>67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104</v>
      </c>
      <c r="L1" s="11" t="s">
        <v>67</v>
      </c>
      <c r="M1" s="11" t="s">
        <v>100</v>
      </c>
      <c r="N1" s="11" t="s">
        <v>101</v>
      </c>
      <c r="O1" s="11" t="s">
        <v>102</v>
      </c>
      <c r="P1" s="11" t="s">
        <v>103</v>
      </c>
      <c r="Q1" s="11" t="s">
        <v>104</v>
      </c>
      <c r="R1" s="48" t="s">
        <v>107</v>
      </c>
      <c r="S1" s="48" t="s">
        <v>108</v>
      </c>
    </row>
    <row r="2" spans="1:19" ht="15.6" thickBot="1" x14ac:dyDescent="0.35">
      <c r="A2" s="47" t="s">
        <v>72</v>
      </c>
      <c r="B2" s="47" t="s">
        <v>105</v>
      </c>
      <c r="C2" s="47" t="s">
        <v>106</v>
      </c>
      <c r="D2" s="47" t="s">
        <v>105</v>
      </c>
      <c r="E2" s="47" t="s">
        <v>105</v>
      </c>
      <c r="F2" s="47" t="s">
        <v>105</v>
      </c>
      <c r="L2" s="47" t="s">
        <v>72</v>
      </c>
      <c r="M2" s="47" t="s">
        <v>105</v>
      </c>
      <c r="N2" s="47" t="s">
        <v>106</v>
      </c>
      <c r="O2" s="47" t="s">
        <v>105</v>
      </c>
      <c r="P2" s="47" t="s">
        <v>105</v>
      </c>
      <c r="Q2" s="49" t="s">
        <v>105</v>
      </c>
      <c r="R2" s="27">
        <v>4</v>
      </c>
      <c r="S2" s="27">
        <v>1</v>
      </c>
    </row>
    <row r="3" spans="1:19" ht="15.6" thickBot="1" x14ac:dyDescent="0.35">
      <c r="A3" s="47" t="s">
        <v>73</v>
      </c>
      <c r="B3" s="47" t="s">
        <v>105</v>
      </c>
      <c r="C3" s="47" t="s">
        <v>105</v>
      </c>
      <c r="D3" s="47" t="s">
        <v>105</v>
      </c>
      <c r="E3" s="47" t="s">
        <v>106</v>
      </c>
      <c r="F3" s="47" t="s">
        <v>105</v>
      </c>
      <c r="L3" s="47" t="s">
        <v>73</v>
      </c>
      <c r="M3" s="47" t="s">
        <v>105</v>
      </c>
      <c r="N3" s="47" t="s">
        <v>105</v>
      </c>
      <c r="O3" s="47" t="s">
        <v>105</v>
      </c>
      <c r="P3" s="47" t="s">
        <v>106</v>
      </c>
      <c r="Q3" s="49" t="s">
        <v>105</v>
      </c>
      <c r="R3" s="27">
        <v>4</v>
      </c>
      <c r="S3" s="27">
        <v>1</v>
      </c>
    </row>
    <row r="4" spans="1:19" ht="15.6" thickBot="1" x14ac:dyDescent="0.35">
      <c r="A4" s="47" t="s">
        <v>74</v>
      </c>
      <c r="B4" s="47" t="s">
        <v>106</v>
      </c>
      <c r="C4" s="47" t="s">
        <v>105</v>
      </c>
      <c r="D4" s="47" t="s">
        <v>105</v>
      </c>
      <c r="E4" s="47" t="s">
        <v>105</v>
      </c>
      <c r="F4" s="47" t="s">
        <v>105</v>
      </c>
      <c r="L4" s="47" t="s">
        <v>74</v>
      </c>
      <c r="M4" s="47" t="s">
        <v>106</v>
      </c>
      <c r="N4" s="47" t="s">
        <v>105</v>
      </c>
      <c r="O4" s="47" t="s">
        <v>105</v>
      </c>
      <c r="P4" s="47" t="s">
        <v>105</v>
      </c>
      <c r="Q4" s="49" t="s">
        <v>105</v>
      </c>
      <c r="R4" s="27">
        <v>4</v>
      </c>
      <c r="S4" s="27">
        <v>1</v>
      </c>
    </row>
    <row r="5" spans="1:19" ht="15.6" thickBot="1" x14ac:dyDescent="0.35">
      <c r="A5" s="47" t="s">
        <v>75</v>
      </c>
      <c r="B5" s="47" t="s">
        <v>105</v>
      </c>
      <c r="C5" s="47" t="s">
        <v>106</v>
      </c>
      <c r="D5" s="47" t="s">
        <v>106</v>
      </c>
      <c r="E5" s="47" t="s">
        <v>105</v>
      </c>
      <c r="F5" s="47" t="s">
        <v>106</v>
      </c>
      <c r="L5" s="47" t="s">
        <v>75</v>
      </c>
      <c r="M5" s="47" t="s">
        <v>105</v>
      </c>
      <c r="N5" s="47" t="s">
        <v>106</v>
      </c>
      <c r="O5" s="47" t="s">
        <v>106</v>
      </c>
      <c r="P5" s="47" t="s">
        <v>105</v>
      </c>
      <c r="Q5" s="49" t="s">
        <v>106</v>
      </c>
      <c r="R5" s="27">
        <v>2</v>
      </c>
      <c r="S5" s="2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BDB4-265D-4F43-8D1C-D56A2E04FB53}">
  <dimension ref="A1:H7"/>
  <sheetViews>
    <sheetView workbookViewId="0">
      <selection activeCell="C13" sqref="C13"/>
    </sheetView>
  </sheetViews>
  <sheetFormatPr defaultRowHeight="14.4" x14ac:dyDescent="0.3"/>
  <sheetData>
    <row r="1" spans="1:8" ht="30.6" thickBot="1" x14ac:dyDescent="0.35">
      <c r="A1" s="11" t="s">
        <v>109</v>
      </c>
      <c r="B1" s="11" t="s">
        <v>46</v>
      </c>
      <c r="G1" s="11" t="s">
        <v>109</v>
      </c>
      <c r="H1" s="11" t="s">
        <v>46</v>
      </c>
    </row>
    <row r="2" spans="1:8" ht="15.6" thickBot="1" x14ac:dyDescent="0.35">
      <c r="A2" s="47" t="s">
        <v>110</v>
      </c>
      <c r="B2" s="47">
        <v>4500</v>
      </c>
      <c r="G2" s="47" t="s">
        <v>110</v>
      </c>
      <c r="H2" s="47">
        <v>4500</v>
      </c>
    </row>
    <row r="3" spans="1:8" ht="15.6" thickBot="1" x14ac:dyDescent="0.35">
      <c r="A3" s="47" t="s">
        <v>111</v>
      </c>
      <c r="B3" s="47">
        <v>12000</v>
      </c>
      <c r="G3" s="47" t="s">
        <v>111</v>
      </c>
      <c r="H3" s="47">
        <v>12000</v>
      </c>
    </row>
    <row r="4" spans="1:8" ht="15.6" thickBot="1" x14ac:dyDescent="0.35">
      <c r="A4" s="47" t="s">
        <v>112</v>
      </c>
      <c r="B4" s="47">
        <v>8000</v>
      </c>
      <c r="G4" s="47" t="s">
        <v>112</v>
      </c>
      <c r="H4" s="47">
        <v>8000</v>
      </c>
    </row>
    <row r="5" spans="1:8" ht="15.6" thickBot="1" x14ac:dyDescent="0.35">
      <c r="A5" s="47" t="s">
        <v>113</v>
      </c>
      <c r="B5" s="47">
        <v>25000</v>
      </c>
      <c r="G5" s="47" t="s">
        <v>113</v>
      </c>
      <c r="H5" s="47">
        <v>25000</v>
      </c>
    </row>
    <row r="6" spans="1:8" ht="15.6" thickBot="1" x14ac:dyDescent="0.35">
      <c r="A6" s="47" t="s">
        <v>114</v>
      </c>
      <c r="B6" s="47">
        <v>3000</v>
      </c>
      <c r="G6" s="47" t="s">
        <v>114</v>
      </c>
      <c r="H6" s="47">
        <v>3000</v>
      </c>
    </row>
    <row r="7" spans="1:8" ht="15.6" thickBot="1" x14ac:dyDescent="0.35">
      <c r="A7" s="47" t="s">
        <v>115</v>
      </c>
      <c r="B7" s="47">
        <v>15000</v>
      </c>
      <c r="G7" s="47" t="s">
        <v>115</v>
      </c>
      <c r="H7" s="47">
        <v>15000</v>
      </c>
    </row>
  </sheetData>
  <conditionalFormatting sqref="H1:H7">
    <cfRule type="cellIs" dxfId="15" priority="4" operator="greaterThan">
      <formula>10000</formula>
    </cfRule>
  </conditionalFormatting>
  <conditionalFormatting sqref="H7">
    <cfRule type="cellIs" dxfId="14" priority="2" operator="lessThan">
      <formula>5000</formula>
    </cfRule>
    <cfRule type="cellIs" dxfId="13" priority="3" operator="lessThan">
      <formula>5000</formula>
    </cfRule>
  </conditionalFormatting>
  <conditionalFormatting sqref="H2:H7">
    <cfRule type="cellIs" dxfId="12" priority="1" operator="lessThan">
      <formula>5000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58D7-A6BE-49A2-A8CD-AB035B3F1E86}">
  <dimension ref="A1:K6"/>
  <sheetViews>
    <sheetView workbookViewId="0">
      <selection activeCell="O14" sqref="O14"/>
    </sheetView>
  </sheetViews>
  <sheetFormatPr defaultRowHeight="14.4" x14ac:dyDescent="0.3"/>
  <cols>
    <col min="1" max="2" width="8.5546875" bestFit="1" customWidth="1"/>
  </cols>
  <sheetData>
    <row r="1" spans="1:11" ht="30.6" thickBot="1" x14ac:dyDescent="0.35">
      <c r="A1" s="11" t="s">
        <v>116</v>
      </c>
      <c r="B1" s="11" t="s">
        <v>46</v>
      </c>
      <c r="J1" s="11" t="s">
        <v>116</v>
      </c>
      <c r="K1" s="11" t="s">
        <v>46</v>
      </c>
    </row>
    <row r="2" spans="1:11" ht="15.6" thickBot="1" x14ac:dyDescent="0.35">
      <c r="A2" s="47" t="s">
        <v>117</v>
      </c>
      <c r="B2" s="47">
        <v>22000</v>
      </c>
      <c r="J2" s="47" t="s">
        <v>117</v>
      </c>
      <c r="K2" s="47">
        <v>22000</v>
      </c>
    </row>
    <row r="3" spans="1:11" ht="30.6" thickBot="1" x14ac:dyDescent="0.35">
      <c r="A3" s="47" t="s">
        <v>118</v>
      </c>
      <c r="B3" s="47">
        <v>3500</v>
      </c>
      <c r="J3" s="47" t="s">
        <v>118</v>
      </c>
      <c r="K3" s="47">
        <v>3500</v>
      </c>
    </row>
    <row r="4" spans="1:11" ht="15.6" thickBot="1" x14ac:dyDescent="0.35">
      <c r="A4" s="47" t="s">
        <v>119</v>
      </c>
      <c r="B4" s="47">
        <v>58000</v>
      </c>
      <c r="J4" s="47" t="s">
        <v>119</v>
      </c>
      <c r="K4" s="47">
        <v>58000</v>
      </c>
    </row>
    <row r="5" spans="1:11" ht="30.6" thickBot="1" x14ac:dyDescent="0.35">
      <c r="A5" s="47" t="s">
        <v>120</v>
      </c>
      <c r="B5" s="47">
        <v>1800</v>
      </c>
      <c r="J5" s="47" t="s">
        <v>120</v>
      </c>
      <c r="K5" s="47">
        <v>1800</v>
      </c>
    </row>
    <row r="6" spans="1:11" ht="15.6" thickBot="1" x14ac:dyDescent="0.35">
      <c r="A6" s="47" t="s">
        <v>121</v>
      </c>
      <c r="B6" s="47">
        <v>12000</v>
      </c>
      <c r="J6" s="47" t="s">
        <v>121</v>
      </c>
      <c r="K6" s="47">
        <v>12000</v>
      </c>
    </row>
  </sheetData>
  <conditionalFormatting sqref="K2:K6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5A1C-CE23-4AAC-8012-CF5A49F5B803}">
  <dimension ref="A1:L6"/>
  <sheetViews>
    <sheetView workbookViewId="0">
      <selection activeCell="F16" sqref="F16"/>
    </sheetView>
  </sheetViews>
  <sheetFormatPr defaultRowHeight="14.4" x14ac:dyDescent="0.3"/>
  <sheetData>
    <row r="1" spans="1:12" ht="15.6" thickBot="1" x14ac:dyDescent="0.35">
      <c r="A1" s="11" t="s">
        <v>66</v>
      </c>
      <c r="B1" s="11" t="s">
        <v>1</v>
      </c>
      <c r="C1" s="11" t="s">
        <v>122</v>
      </c>
      <c r="J1" s="11" t="s">
        <v>66</v>
      </c>
      <c r="K1" s="11" t="s">
        <v>1</v>
      </c>
      <c r="L1" s="11" t="s">
        <v>122</v>
      </c>
    </row>
    <row r="2" spans="1:12" ht="15.6" thickBot="1" x14ac:dyDescent="0.35">
      <c r="A2" s="47">
        <v>1</v>
      </c>
      <c r="B2" s="47" t="s">
        <v>93</v>
      </c>
      <c r="C2" s="47">
        <v>85</v>
      </c>
      <c r="J2" s="47">
        <v>1</v>
      </c>
      <c r="K2" s="47" t="s">
        <v>93</v>
      </c>
      <c r="L2" s="47">
        <v>85</v>
      </c>
    </row>
    <row r="3" spans="1:12" ht="15.6" thickBot="1" x14ac:dyDescent="0.35">
      <c r="A3" s="47">
        <v>2</v>
      </c>
      <c r="B3" s="47" t="s">
        <v>123</v>
      </c>
      <c r="C3" s="47">
        <v>72</v>
      </c>
      <c r="J3" s="47">
        <v>2</v>
      </c>
      <c r="K3" s="47" t="s">
        <v>123</v>
      </c>
      <c r="L3" s="47">
        <v>72</v>
      </c>
    </row>
    <row r="4" spans="1:12" ht="15.6" thickBot="1" x14ac:dyDescent="0.35">
      <c r="A4" s="47">
        <v>3</v>
      </c>
      <c r="B4" s="47" t="s">
        <v>124</v>
      </c>
      <c r="C4" s="47">
        <v>39</v>
      </c>
      <c r="J4" s="47">
        <v>3</v>
      </c>
      <c r="K4" s="47" t="s">
        <v>124</v>
      </c>
      <c r="L4" s="47">
        <v>39</v>
      </c>
    </row>
    <row r="5" spans="1:12" ht="15.6" thickBot="1" x14ac:dyDescent="0.35">
      <c r="A5" s="47">
        <v>4</v>
      </c>
      <c r="B5" s="47" t="s">
        <v>125</v>
      </c>
      <c r="C5" s="47">
        <v>91</v>
      </c>
      <c r="J5" s="47">
        <v>4</v>
      </c>
      <c r="K5" s="47" t="s">
        <v>125</v>
      </c>
      <c r="L5" s="47">
        <v>91</v>
      </c>
    </row>
    <row r="6" spans="1:12" ht="15.6" thickBot="1" x14ac:dyDescent="0.35">
      <c r="A6" s="47">
        <v>5</v>
      </c>
      <c r="B6" s="47" t="s">
        <v>126</v>
      </c>
      <c r="C6" s="47">
        <v>28</v>
      </c>
      <c r="J6" s="47">
        <v>5</v>
      </c>
      <c r="K6" s="47" t="s">
        <v>126</v>
      </c>
      <c r="L6" s="47">
        <v>28</v>
      </c>
    </row>
  </sheetData>
  <conditionalFormatting sqref="L2:L6">
    <cfRule type="cellIs" dxfId="8" priority="2" operator="greaterThanOrEqual">
      <formula>75</formula>
    </cfRule>
    <cfRule type="cellIs" dxfId="7" priority="1" operator="lessThanOrEqual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6440-DE76-40F8-B898-7BCD24AD040D}">
  <dimension ref="A1:J6"/>
  <sheetViews>
    <sheetView tabSelected="1" workbookViewId="0">
      <selection activeCell="D13" sqref="D13"/>
    </sheetView>
  </sheetViews>
  <sheetFormatPr defaultRowHeight="14.4" x14ac:dyDescent="0.3"/>
  <sheetData>
    <row r="1" spans="1:10" ht="45.6" thickBot="1" x14ac:dyDescent="0.35">
      <c r="A1" s="11" t="s">
        <v>88</v>
      </c>
      <c r="B1" s="11" t="s">
        <v>3</v>
      </c>
      <c r="I1" s="11" t="s">
        <v>88</v>
      </c>
      <c r="J1" s="11" t="s">
        <v>3</v>
      </c>
    </row>
    <row r="2" spans="1:10" ht="15.6" thickBot="1" x14ac:dyDescent="0.35">
      <c r="A2" s="47" t="s">
        <v>127</v>
      </c>
      <c r="B2" s="47">
        <v>28000</v>
      </c>
      <c r="I2" s="47" t="s">
        <v>127</v>
      </c>
      <c r="J2" s="47">
        <v>28000</v>
      </c>
    </row>
    <row r="3" spans="1:10" ht="15.6" thickBot="1" x14ac:dyDescent="0.35">
      <c r="A3" s="47" t="s">
        <v>128</v>
      </c>
      <c r="B3" s="47">
        <v>34000</v>
      </c>
      <c r="I3" s="47" t="s">
        <v>128</v>
      </c>
      <c r="J3" s="47">
        <v>34000</v>
      </c>
    </row>
    <row r="4" spans="1:10" ht="15.6" thickBot="1" x14ac:dyDescent="0.35">
      <c r="A4" s="47" t="s">
        <v>129</v>
      </c>
      <c r="B4" s="47">
        <v>51000</v>
      </c>
      <c r="I4" s="47" t="s">
        <v>129</v>
      </c>
      <c r="J4" s="47">
        <v>51000</v>
      </c>
    </row>
    <row r="5" spans="1:10" ht="15.6" thickBot="1" x14ac:dyDescent="0.35">
      <c r="A5" s="47" t="s">
        <v>130</v>
      </c>
      <c r="B5" s="47">
        <v>47000</v>
      </c>
      <c r="I5" s="47" t="s">
        <v>130</v>
      </c>
      <c r="J5" s="47">
        <v>47000</v>
      </c>
    </row>
    <row r="6" spans="1:10" ht="15.6" thickBot="1" x14ac:dyDescent="0.35">
      <c r="A6" s="47" t="s">
        <v>131</v>
      </c>
      <c r="B6" s="47">
        <v>29000</v>
      </c>
      <c r="I6" s="47" t="s">
        <v>131</v>
      </c>
      <c r="J6" s="47">
        <v>29000</v>
      </c>
    </row>
  </sheetData>
  <conditionalFormatting sqref="J2:J6">
    <cfRule type="cellIs" dxfId="0" priority="3" operator="greaterThanOrEqual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Sheet</vt:lpstr>
      <vt:lpstr>Sales Report</vt:lpstr>
      <vt:lpstr> Student Marks Sheet</vt:lpstr>
      <vt:lpstr>Sales Summary</vt:lpstr>
      <vt:lpstr>Department-wise Salary Analysis</vt:lpstr>
      <vt:lpstr> Attendance Sheet </vt:lpstr>
      <vt:lpstr> Sales Count Logic</vt:lpstr>
      <vt:lpstr>Conditional Formatting</vt:lpstr>
      <vt:lpstr>Student Result Highlight</vt:lpstr>
      <vt:lpstr>Salary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tiburiwala</dc:creator>
  <cp:lastModifiedBy>nauman tiburiwala</cp:lastModifiedBy>
  <dcterms:created xsi:type="dcterms:W3CDTF">2026-01-27T17:19:14Z</dcterms:created>
  <dcterms:modified xsi:type="dcterms:W3CDTF">2026-01-27T18:25:36Z</dcterms:modified>
</cp:coreProperties>
</file>